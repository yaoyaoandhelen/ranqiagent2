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3b311cc76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b518072c3b5747eb"/>
    <x:sheet xmlns:r="http://schemas.openxmlformats.org/officeDocument/2006/relationships" name="原始数据" sheetId="2" r:id="R8e2c30d1ff67437d"/>
    <x:sheet xmlns:r="http://schemas.openxmlformats.org/officeDocument/2006/relationships" name="动态看板" sheetId="3" r:id="Rdd5595c3c1ee456a"/>
    <x:sheet xmlns:r="http://schemas.openxmlformats.org/officeDocument/2006/relationships" name="图表数据" sheetId="4" r:id="R19c29759f7f44a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17324D"/>
      <x:name val="Carlito"/>
    </x:font>
    <x:font>
      <x:b/>
      <x:sz val="11"/>
      <x:color rgb="FF17324D"/>
      <x:name val="Carlito"/>
    </x:font>
    <x:font>
      <x:b/>
      <x:sz val="14"/>
      <x:color rgb="FF17324D"/>
      <x:name val="Carlito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2" xfId="0" applyNumberFormat="1" applyFont="1" applyFill="0" applyBorder="1"/>
    <x:xf numFmtId="0" fontId="1" borderId="3" xfId="0" applyNumberFormat="1" applyFont="1" applyFill="0" applyBorder="1"/>
    <x:xf numFmtId="0" fontId="2" borderId="0" xfId="0" applyNumberFormat="1" applyFont="1" applyFill="0" applyBorder="1"/>
    <x:xf numFmtId="0" fontId="2" borderId="4" xfId="0" applyNumberFormat="1" applyFont="1" applyFill="0" applyBorder="1"/>
    <x:xf numFmtId="0" fontId="2" borderId="5" xfId="0" applyNumberFormat="1" applyFont="1" applyFill="0" applyBorder="1"/>
    <x:xf numFmtId="0" fontId="2" borderId="6" xfId="0" applyNumberFormat="1" applyFont="1" applyFill="0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borderId="7" xfId="0" applyNumberFormat="1" applyFont="1" applyFill="0" applyBorder="1"/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6" xfId="0" applyNumberFormat="1" applyFont="1" applyFill="1" applyBorder="1"/>
    <x:xf numFmtId="0" fontId="0" borderId="6" xfId="0" applyNumberFormat="1" applyFont="1" applyFill="0" applyBorder="1"/>
    <x:xf numFmtId="0" fontId="0" borderId="4" xfId="0" applyNumberFormat="1" applyFont="1" applyFill="0" applyBorder="1"/>
    <x:xf numFmtId="0" fontId="0" borderId="7" xfId="0" applyNumberFormat="1" applyFont="1" applyFill="0" applyBorder="1"/>
    <x:xf numFmtId="0" fontId="0" borderId="5" xfId="0" applyNumberFormat="1" applyFont="1" applyFill="0" applyBorder="1"/>
    <x:xf numFmtId="0" fontId="3" borderId="4" xfId="0" applyNumberFormat="1" applyFont="1" applyFill="0" applyBorder="1"/>
    <x:xf numFmtId="0" fontId="3" borderId="7" xfId="0" applyNumberFormat="1" applyFont="1" applyFill="0" applyBorder="1"/>
    <x:xf numFmtId="0" fontId="3" borderId="5" xfId="0" applyNumberFormat="1" applyFont="1" applyFill="0" applyBorder="1"/>
    <x:xf numFmtId="200" fontId="3" borderId="7" xfId="0" applyNumberFormat="1" applyFont="1" applyFill="0" applyBorder="1"/>
    <x:xf numFmtId="200" fontId="3" borderId="5" xfId="0" applyNumberFormat="1" applyFont="1" applyFill="0" applyBorder="1"/>
    <x:xf numFmtId="200" fontId="0" fillId="0" borderId="4" xfId="0" applyNumberFormat="1" applyFont="1" applyFill="1" applyBorder="1"/>
    <x:xf numFmtId="0" fontId="1" borderId="1" xfId="0" applyNumberFormat="1" applyFont="1" applyFill="0" applyBorder="1" applyAlignment="1">
      <x:alignment wrapText="1"/>
    </x:xf>
    <x:xf numFmtId="0" fontId="1" borderId="2" xfId="0" applyNumberFormat="1" applyFont="1" applyFill="0" applyBorder="1" applyAlignment="1">
      <x:alignment wrapText="1"/>
    </x:xf>
    <x:xf numFmtId="0" fontId="1" borderId="3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borderId="6" xfId="0" applyNumberFormat="1" applyFont="1" applyFill="0" applyBorder="1" applyAlignment="1">
      <x:alignment wrapText="1"/>
    </x:xf>
    <x:xf numFmtId="0" fontId="0" borderId="6" xfId="0" applyNumberFormat="1" applyFont="1" applyFill="0" applyBorder="1" applyAlignment="1">
      <x:alignment wrapText="1"/>
    </x:xf>
    <x:xf numFmtId="0" fontId="2" borderId="4" xfId="0" applyNumberFormat="1" applyFont="1" applyFill="0" applyBorder="1" applyAlignment="1">
      <x:alignment wrapText="1"/>
    </x:xf>
    <x:xf numFmtId="0" fontId="2" borderId="7" xfId="0" applyNumberFormat="1" applyFont="1" applyFill="0" applyBorder="1" applyAlignment="1">
      <x:alignment wrapText="1"/>
    </x:xf>
    <x:xf numFmtId="0" fontId="2" borderId="5" xfId="0" applyNumberFormat="1" applyFont="1" applyFill="0" applyBorder="1" applyAlignment="1">
      <x:alignment wrapText="1"/>
    </x:xf>
    <x:xf numFmtId="0" fontId="3" borderId="4" xfId="0" applyNumberFormat="1" applyFont="1" applyFill="0" applyBorder="1" applyAlignment="1">
      <x:alignment wrapText="1"/>
    </x:xf>
    <x:xf numFmtId="200" fontId="3" borderId="7" xfId="0" applyNumberFormat="1" applyFont="1" applyFill="0" applyBorder="1" applyAlignment="1">
      <x:alignment wrapText="1"/>
    </x:xf>
    <x:xf numFmtId="200" fontId="3" borderId="5" xfId="0" applyNumberFormat="1" applyFont="1" applyFill="0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2" borderId="4" xfId="0" applyNumberFormat="1" applyFont="1" applyFill="0" applyBorder="1" applyAlignment="1">
      <x:alignment wrapText="0"/>
    </x:xf>
    <x:xf numFmtId="0" fontId="2" borderId="7" xfId="0" applyNumberFormat="1" applyFont="1" applyFill="0" applyBorder="1" applyAlignment="1">
      <x:alignment wrapText="0"/>
    </x:xf>
    <x:xf numFmtId="0" fontId="2" borderId="5" xfId="0" applyNumberFormat="1" applyFont="1" applyFill="0" applyBorder="1" applyAlignment="1">
      <x:alignment wrapText="0"/>
    </x:xf>
    <x:xf numFmtId="0" fontId="3" borderId="4" xfId="0" applyNumberFormat="1" applyFont="1" applyFill="0" applyBorder="1" applyAlignment="1">
      <x:alignment wrapText="0"/>
    </x:xf>
    <x:xf numFmtId="200" fontId="3" borderId="7" xfId="0" applyNumberFormat="1" applyFont="1" applyFill="0" applyBorder="1" applyAlignment="1">
      <x:alignment wrapText="0"/>
    </x:xf>
    <x:xf numFmtId="200" fontId="3" borderId="5" xfId="0" applyNumberFormat="1" applyFont="1" applyFill="0" applyBorder="1" applyAlignment="1">
      <x:alignment wrapText="0"/>
    </x:xf>
    <x:xf numFmtId="0" fontId="1" borderId="1" xfId="0" applyNumberFormat="1" applyFont="1" applyFill="0" applyBorder="1" applyAlignment="1">
      <x:alignment wrapText="0"/>
    </x:xf>
    <x:xf numFmtId="0" fontId="1" borderId="2" xfId="0" applyNumberFormat="1" applyFont="1" applyFill="0" applyBorder="1" applyAlignment="1">
      <x:alignment wrapText="0"/>
    </x:xf>
    <x:xf numFmtId="0" fontId="1" borderId="3" xfId="0" applyNumberFormat="1" applyFont="1" applyFill="0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2a5e469bf4c0e" /><Relationship Type="http://schemas.openxmlformats.org/officeDocument/2006/relationships/theme" Target="/xl/theme/theme1.xml" Id="R6b43adc0d142444b" /><Relationship Type="http://schemas.microsoft.com/office/2022/11/relationships/FeaturePropertyBag" Target="/xl/featurePropertyBag/featurePropertyBag.xml" Id="R44462182374d4f36" /><Relationship Type="http://schemas.openxmlformats.org/officeDocument/2006/relationships/sharedStrings" Target="/xl/sharedStrings.xml" Id="R7349099177d345ee" /><Relationship Type="http://schemas.openxmlformats.org/officeDocument/2006/relationships/worksheet" Target="/xl/worksheets/sheet1.xml" Id="Rb518072c3b5747eb" /><Relationship Type="http://schemas.openxmlformats.org/officeDocument/2006/relationships/worksheet" Target="/xl/worksheets/sheet2.xml" Id="R8e2c30d1ff67437d" /><Relationship Type="http://schemas.openxmlformats.org/officeDocument/2006/relationships/worksheet" Target="/xl/worksheets/sheet3.xml" Id="Rdd5595c3c1ee456a" /><Relationship Type="http://schemas.openxmlformats.org/officeDocument/2006/relationships/worksheet" Target="/xl/worksheets/sheet4.xml" Id="R19c29759f7f44a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1bde9ee6c741b1" /><Relationship Type="http://schemas.openxmlformats.org/officeDocument/2006/relationships/chart" Target="/xl/drawings/charts/chart2.xml" Id="R2ce3ac57d6e544f9" /><Relationship Type="http://schemas.openxmlformats.org/officeDocument/2006/relationships/chart" Target="/xl/drawings/charts/chart3.xml" Id="Rc9997eea8b294287" /><Relationship Type="http://schemas.openxmlformats.org/officeDocument/2006/relationships/chart" Target="/xl/drawings/charts/chart4.xml" Id="R20f284055ddc444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筛选奖项的分数区间分布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数量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'动态看板'!$A$9:$A$13</c:f>
              <c:strCache>
                <c:ptCount val="0"/>
              </c:strCache>
            </c:strRef>
          </c:cat>
          <c:val>
            <c:numRef>
              <c:f>'动态看板'!$B$9:$B$13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D8DEE8"/>
              </a:solidFill>
              <a:prstDash val="solid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小组评分、大会评分与最终分均值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均值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'动态看板'!$D$9:$D$11</c:f>
              <c:strCache>
                <c:ptCount val="0"/>
              </c:strCache>
            </c:strRef>
          </c:cat>
          <c:val>
            <c:numRef>
              <c:f>'动态看板'!$E$9:$E$11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D8DEE8"/>
              </a:solidFill>
              <a:prstDash val="solid"/>
            </a:ln>
          </c:spPr>
        </c:majorGridlines>
        <c:numFmt formatCode="0.0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大会评分相对小组评分差异分布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数量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'动态看板'!$A$16:$A$19</c:f>
              <c:strCache>
                <c:ptCount val="0"/>
              </c:strCache>
            </c:strRef>
          </c:cat>
          <c:val>
            <c:numRef>
              <c:f>'动态看板'!$B$16:$B$19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各奖项成果数量结构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数量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'动态看板'!$D$16:$D$18</c:f>
              <c:strCache>
                <c:ptCount val="0"/>
              </c:strCache>
            </c:strRef>
          </c:cat>
          <c:val>
            <c:numRef>
              <c:f>'动态看板'!$E$16:$E$18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3</xdr:row>
      <xdr:rowOff>0</xdr:rowOff>
    </xdr:from>
    <xdr:ext cx="59055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1bde9ee6c741b1"/>
        </a:graphicData>
      </a:graphic>
    </xdr:graphicFrame>
    <xdr:clientData/>
  </xdr:oneCellAnchor>
  <xdr:oneCellAnchor>
    <xdr:from>
      <xdr:col>6</xdr:col>
      <xdr:colOff>0</xdr:colOff>
      <xdr:row>12</xdr:row>
      <xdr:rowOff>0</xdr:rowOff>
    </xdr:from>
    <xdr:ext cx="5905500" cy="2333625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e3ac57d6e544f9"/>
        </a:graphicData>
      </a:graphic>
    </xdr:graphicFrame>
    <xdr:clientData/>
  </xdr:oneCellAnchor>
  <xdr:oneCellAnchor>
    <xdr:from>
      <xdr:col>10</xdr:col>
      <xdr:colOff>0</xdr:colOff>
      <xdr:row>21</xdr:row>
      <xdr:rowOff>0</xdr:rowOff>
    </xdr:from>
    <xdr:ext cx="3429000" cy="2476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997eea8b294287"/>
        </a:graphicData>
      </a:graphic>
    </xdr:graphicFrame>
    <xdr:clientData/>
  </xdr:oneCellAnchor>
  <xdr:oneCellAnchor>
    <xdr:from>
      <xdr:col>10</xdr:col>
      <xdr:colOff>0</xdr:colOff>
      <xdr:row>30</xdr:row>
      <xdr:rowOff>0</xdr:rowOff>
    </xdr:from>
    <xdr:ext cx="3429000" cy="180975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f284055ddc4442"/>
        </a:graphicData>
      </a:graphic>
    </xdr:graphicFrame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f4e39a656254c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>
      <x:c r="A1" s="3" t="str">
        <x:v>重庆社科科学院发展研究奖 - 评审结果动态分析</x:v>
      </x:c>
      <x:c r="B1" s="4"/>
      <x:c r="C1" s="4"/>
      <x:c r="D1" s="4"/>
      <x:c r="E1" s="4"/>
      <x:c r="F1" s="5"/>
    </x:row>
    <x:row r="3">
      <x:c r="A3" s="9" t="str">
        <x:v>工作簿结构</x:v>
      </x:c>
      <x:c r="B3" s="7" t="str">
        <x:v>用途</x:v>
      </x:c>
    </x:row>
    <x:row r="4">
      <x:c r="A4" s="10" t="str">
        <x:v>原始数据</x:v>
      </x:c>
      <x:c r="B4" s="11" t="str">
        <x:v>合并三个获奖结果表，保留来源奖项、评分差异、分数区间与临界标记。</x:v>
      </x:c>
    </x:row>
    <x:row r="5">
      <x:c r="A5" s="10" t="str">
        <x:v>动态看板</x:v>
      </x:c>
      <x:c r="B5" s="11" t="str">
        <x:v>通过奖项筛选联动 KPI、分数分布、评分分歧和评分均值对比图。</x:v>
      </x:c>
    </x:row>
    <x:row r="6">
      <x:c r="A6" s="10" t="str">
        <x:v>图表数据</x:v>
      </x:c>
      <x:c r="B6" s="11" t="str">
        <x:v>看板图表的公式驱动数据区，便于审计和后续扩展。</x:v>
      </x:c>
    </x:row>
    <x:row r="8">
      <x:c r="A8" s="9" t="str">
        <x:v>关注点</x:v>
      </x:c>
      <x:c r="B8" s="7" t="str">
        <x:v>看板解释</x:v>
      </x:c>
    </x:row>
    <x:row r="9">
      <x:c r="A9" s="10" t="str">
        <x:v>名额结构</x:v>
      </x:c>
      <x:c r="B9" s="11" t="str">
        <x:v>观察一二三等奖数量是否符合评奖安排。</x:v>
      </x:c>
    </x:row>
    <x:row r="10">
      <x:c r="A10" s="10" t="str">
        <x:v>分数区间</x:v>
      </x:c>
      <x:c r="B10" s="11" t="str">
        <x:v>识别获奖作品集中在高分段还是临界分段。</x:v>
      </x:c>
    </x:row>
    <x:row r="11">
      <x:c r="A11" s="10" t="str">
        <x:v>评分分歧</x:v>
      </x:c>
      <x:c r="B11" s="11" t="str">
        <x:v>大会评分相对小组评分的上调/下调情况，用于发现复核重点。</x:v>
      </x:c>
    </x:row>
    <x:row r="12">
      <x:c r="A12" s="10" t="str">
        <x:v>临界作品</x:v>
      </x:c>
      <x:c r="B12" s="11" t="str">
        <x:v>各奖项分数较靠后的作品，可作为复核和公示风险关注对象。</x:v>
      </x:c>
    </x:row>
    <x:row r="13">
      <x:c r="A13" s="10" t="str">
        <x:v>重复选题</x:v>
      </x:c>
      <x:c r="B13" s="11" t="str">
        <x:v>同名成果多次出现时提示选题聚集度，便于系统后续做去重或主题归并。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2" hidden="0" customWidth="1"/>
    <x:col min="3" max="3" width="12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</x:cols>
  <x:sheetData>
    <x:row r="1">
      <x:c r="A1" s="9" t="str">
        <x:v>编号</x:v>
      </x:c>
      <x:c r="B1" s="9" t="str">
        <x:v>成果名称</x:v>
      </x:c>
      <x:c r="C1" s="9" t="str">
        <x:v>奖项</x:v>
      </x:c>
      <x:c r="D1" s="9" t="str">
        <x:v>奖项内排名</x:v>
      </x:c>
      <x:c r="E1" s="9" t="str">
        <x:v>小组评分</x:v>
      </x:c>
      <x:c r="F1" s="9" t="str">
        <x:v>大会评分</x:v>
      </x:c>
      <x:c r="G1" s="9" t="str">
        <x:v>大会-小组差</x:v>
      </x:c>
      <x:c r="H1" s="9" t="str">
        <x:v>综合最终得分</x:v>
      </x:c>
      <x:c r="I1" s="9" t="str">
        <x:v>分数区间</x:v>
      </x:c>
      <x:c r="J1" s="7" t="str">
        <x:v>是否临界</x:v>
      </x:c>
    </x:row>
    <x:row r="2">
      <x:c r="A2" s="10" t="str">
        <x:v>CG2026069</x:v>
      </x:c>
      <x:c r="B2" s="10" t="str">
        <x:v>重庆智能网联新能源汽车产业链供应链韧性和安全水平提升研究</x:v>
      </x:c>
      <x:c r="C2" s="10" t="str">
        <x:v>一等奖</x:v>
      </x:c>
      <x:c r="D2" s="10" t="n">
        <x:v>1</x:v>
      </x:c>
      <x:c r="E2" s="15" t="n">
        <x:v>94.9</x:v>
      </x:c>
      <x:c r="F2" s="15" t="n">
        <x:v>92.53</x:v>
      </x:c>
      <x:c r="G2" s="15" t="n">
        <x:v>-2.37</x:v>
      </x:c>
      <x:c r="H2" s="15" t="n">
        <x:v>94.19</x:v>
      </x:c>
      <x:c r="I2" s="10" t="str">
        <x:v>94分及以上</x:v>
      </x:c>
      <x:c r="J2" s="14" t="b">
        <x:v>0</x:v>
      </x:c>
    </x:row>
    <x:row r="3">
      <x:c r="A3" s="10" t="str">
        <x:v>CG2026067</x:v>
      </x:c>
      <x:c r="B3" s="10" t="str">
        <x:v>重庆智能网联新能源汽车产业链供应链韧性和安全水平提升研究</x:v>
      </x:c>
      <x:c r="C3" s="10" t="str">
        <x:v>一等奖</x:v>
      </x:c>
      <x:c r="D3" s="10" t="n">
        <x:v>3</x:v>
      </x:c>
      <x:c r="E3" s="15" t="n">
        <x:v>94.9</x:v>
      </x:c>
      <x:c r="F3" s="15" t="n">
        <x:v>92.44</x:v>
      </x:c>
      <x:c r="G3" s="15" t="n">
        <x:v>-2.46</x:v>
      </x:c>
      <x:c r="H3" s="15" t="n">
        <x:v>94.16</x:v>
      </x:c>
      <x:c r="I3" s="10" t="str">
        <x:v>94分及以上</x:v>
      </x:c>
      <x:c r="J3" s="14" t="b">
        <x:v>0</x:v>
      </x:c>
    </x:row>
    <x:row r="4">
      <x:c r="A4" s="10" t="str">
        <x:v>CG2026066</x:v>
      </x:c>
      <x:c r="B4" s="10" t="str">
        <x:v>创新推动重庆文化产业发展研究</x:v>
      </x:c>
      <x:c r="C4" s="10" t="str">
        <x:v>一等奖</x:v>
      </x:c>
      <x:c r="D4" s="10" t="n">
        <x:v>2</x:v>
      </x:c>
      <x:c r="E4" s="15" t="n">
        <x:v>94.9</x:v>
      </x:c>
      <x:c r="F4" s="15" t="n">
        <x:v>92.42</x:v>
      </x:c>
      <x:c r="G4" s="15" t="n">
        <x:v>-2.48</x:v>
      </x:c>
      <x:c r="H4" s="15" t="n">
        <x:v>94.16</x:v>
      </x:c>
      <x:c r="I4" s="10" t="str">
        <x:v>94分及以上</x:v>
      </x:c>
      <x:c r="J4" s="14" t="b">
        <x:v>0</x:v>
      </x:c>
    </x:row>
    <x:row r="5">
      <x:c r="A5" s="10" t="str">
        <x:v>CG2026065</x:v>
      </x:c>
      <x:c r="B5" s="10" t="str">
        <x:v>创新推动重庆文化产业发展研究</x:v>
      </x:c>
      <x:c r="C5" s="10" t="str">
        <x:v>一等奖</x:v>
      </x:c>
      <x:c r="D5" s="10" t="n">
        <x:v>4</x:v>
      </x:c>
      <x:c r="E5" s="15" t="n">
        <x:v>94.9</x:v>
      </x:c>
      <x:c r="F5" s="15" t="n">
        <x:v>92.36</x:v>
      </x:c>
      <x:c r="G5" s="15" t="n">
        <x:v>-2.54</x:v>
      </x:c>
      <x:c r="H5" s="15" t="n">
        <x:v>94.14</x:v>
      </x:c>
      <x:c r="I5" s="10" t="str">
        <x:v>94分及以上</x:v>
      </x:c>
      <x:c r="J5" s="14" t="b">
        <x:v>0</x:v>
      </x:c>
    </x:row>
    <x:row r="6">
      <x:c r="A6" s="10" t="str">
        <x:v>CG2026068</x:v>
      </x:c>
      <x:c r="B6" s="10" t="str">
        <x:v>重庆智能网联新能源汽车产业链供应链韧性和安全水平提升研究</x:v>
      </x:c>
      <x:c r="C6" s="10" t="str">
        <x:v>一等奖</x:v>
      </x:c>
      <x:c r="D6" s="10" t="n">
        <x:v>5</x:v>
      </x:c>
      <x:c r="E6" s="15" t="n">
        <x:v>94.9</x:v>
      </x:c>
      <x:c r="F6" s="15" t="n">
        <x:v>91.98</x:v>
      </x:c>
      <x:c r="G6" s="15" t="n">
        <x:v>-2.92</x:v>
      </x:c>
      <x:c r="H6" s="15" t="n">
        <x:v>94.02</x:v>
      </x:c>
      <x:c r="I6" s="10" t="str">
        <x:v>94分及以上</x:v>
      </x:c>
      <x:c r="J6" s="14" t="b">
        <x:v>0</x:v>
      </x:c>
    </x:row>
    <x:row r="7">
      <x:c r="A7" s="10" t="str">
        <x:v>CG2026090</x:v>
      </x:c>
      <x:c r="B7" s="10" t="str">
        <x:v>重庆科技创新面临的体制机制问题研究</x:v>
      </x:c>
      <x:c r="C7" s="10" t="str">
        <x:v>一等奖</x:v>
      </x:c>
      <x:c r="D7" s="10" t="n">
        <x:v>6</x:v>
      </x:c>
      <x:c r="E7" s="15" t="n">
        <x:v>93.56</x:v>
      </x:c>
      <x:c r="F7" s="15" t="n">
        <x:v>92.37</x:v>
      </x:c>
      <x:c r="G7" s="15" t="n">
        <x:v>-1.19</x:v>
      </x:c>
      <x:c r="H7" s="15" t="n">
        <x:v>93.2</x:v>
      </x:c>
      <x:c r="I7" s="10" t="str">
        <x:v>92-94分</x:v>
      </x:c>
      <x:c r="J7" s="14" t="b">
        <x:v>0</x:v>
      </x:c>
    </x:row>
    <x:row r="8">
      <x:c r="A8" s="10" t="str">
        <x:v>CG2026024</x:v>
      </x:c>
      <x:c r="B8" s="10" t="str">
        <x:v>重庆智慧养老体系建设研究</x:v>
      </x:c>
      <x:c r="C8" s="10" t="str">
        <x:v>一等奖</x:v>
      </x:c>
      <x:c r="D8" s="10" t="n">
        <x:v>7</x:v>
      </x:c>
      <x:c r="E8" s="15" t="n">
        <x:v>93.18</x:v>
      </x:c>
      <x:c r="F8" s="15" t="n">
        <x:v>92.78</x:v>
      </x:c>
      <x:c r="G8" s="15" t="n">
        <x:v>-0.4</x:v>
      </x:c>
      <x:c r="H8" s="15" t="n">
        <x:v>93.06</x:v>
      </x:c>
      <x:c r="I8" s="10" t="str">
        <x:v>92-94分</x:v>
      </x:c>
      <x:c r="J8" s="14" t="b">
        <x:v>0</x:v>
      </x:c>
    </x:row>
    <x:row r="9">
      <x:c r="A9" s="10" t="str">
        <x:v>CG2026047</x:v>
      </x:c>
      <x:c r="B9" s="10" t="str">
        <x:v>如何发挥人民政协在全过程人民民主中的重要作用研究</x:v>
      </x:c>
      <x:c r="C9" s="10" t="str">
        <x:v>一等奖</x:v>
      </x:c>
      <x:c r="D9" s="10" t="n">
        <x:v>8</x:v>
      </x:c>
      <x:c r="E9" s="15" t="n">
        <x:v>93.64</x:v>
      </x:c>
      <x:c r="F9" s="15" t="n">
        <x:v>91.71</x:v>
      </x:c>
      <x:c r="G9" s="15" t="n">
        <x:v>-1.93</x:v>
      </x:c>
      <x:c r="H9" s="15" t="n">
        <x:v>93.06</x:v>
      </x:c>
      <x:c r="I9" s="10" t="str">
        <x:v>92-94分</x:v>
      </x:c>
      <x:c r="J9" s="14" t="b">
        <x:v>0</x:v>
      </x:c>
    </x:row>
    <x:row r="10">
      <x:c r="A10" s="10" t="str">
        <x:v>CG2026003</x:v>
      </x:c>
      <x:c r="B10" s="10" t="str">
        <x:v>推进我市软件和信息服务业高质量发展的对策建议</x:v>
      </x:c>
      <x:c r="C10" s="10" t="str">
        <x:v>一等奖</x:v>
      </x:c>
      <x:c r="D10" s="10" t="n">
        <x:v>9</x:v>
      </x:c>
      <x:c r="E10" s="15" t="n">
        <x:v>92.98</x:v>
      </x:c>
      <x:c r="F10" s="15" t="n">
        <x:v>92.96</x:v>
      </x:c>
      <x:c r="G10" s="15" t="n">
        <x:v>-0.02</x:v>
      </x:c>
      <x:c r="H10" s="15" t="n">
        <x:v>92.98</x:v>
      </x:c>
      <x:c r="I10" s="10" t="str">
        <x:v>92-94分</x:v>
      </x:c>
      <x:c r="J10" s="14" t="b">
        <x:v>0</x:v>
      </x:c>
    </x:row>
    <x:row r="11">
      <x:c r="A11" s="10" t="str">
        <x:v>CG2026034</x:v>
      </x:c>
      <x:c r="B11" s="10" t="str">
        <x:v>重庆生物医药产业发展战略研究</x:v>
      </x:c>
      <x:c r="C11" s="10" t="str">
        <x:v>一等奖</x:v>
      </x:c>
      <x:c r="D11" s="10" t="n">
        <x:v>10</x:v>
      </x:c>
      <x:c r="E11" s="15" t="n">
        <x:v>93.06</x:v>
      </x:c>
      <x:c r="F11" s="15" t="n">
        <x:v>92.64</x:v>
      </x:c>
      <x:c r="G11" s="15" t="n">
        <x:v>-0.42</x:v>
      </x:c>
      <x:c r="H11" s="15" t="n">
        <x:v>92.93</x:v>
      </x:c>
      <x:c r="I11" s="10" t="str">
        <x:v>92-94分</x:v>
      </x:c>
      <x:c r="J11" s="14" t="b">
        <x:v>0</x:v>
      </x:c>
    </x:row>
    <x:row r="12">
      <x:c r="A12" s="10" t="str">
        <x:v>CG2026045</x:v>
      </x:c>
      <x:c r="B12" s="10" t="str">
        <x:v>重庆以数字化变革推进文化强市建设研究</x:v>
      </x:c>
      <x:c r="C12" s="10" t="str">
        <x:v>一等奖</x:v>
      </x:c>
      <x:c r="D12" s="10" t="n">
        <x:v>11</x:v>
      </x:c>
      <x:c r="E12" s="15" t="n">
        <x:v>93.04</x:v>
      </x:c>
      <x:c r="F12" s="15" t="n">
        <x:v>92.56</x:v>
      </x:c>
      <x:c r="G12" s="15" t="n">
        <x:v>-0.48</x:v>
      </x:c>
      <x:c r="H12" s="15" t="n">
        <x:v>92.9</x:v>
      </x:c>
      <x:c r="I12" s="10" t="str">
        <x:v>92-94分</x:v>
      </x:c>
      <x:c r="J12" s="14" t="b">
        <x:v>0</x:v>
      </x:c>
    </x:row>
    <x:row r="13">
      <x:c r="A13" s="10" t="str">
        <x:v>CG2026008</x:v>
      </x:c>
      <x:c r="B13" s="10" t="str">
        <x:v>专精特新中小企业创新能力评价研究</x:v>
      </x:c>
      <x:c r="C13" s="10" t="str">
        <x:v>一等奖</x:v>
      </x:c>
      <x:c r="D13" s="10" t="n">
        <x:v>12</x:v>
      </x:c>
      <x:c r="E13" s="15" t="n">
        <x:v>93.14</x:v>
      </x:c>
      <x:c r="F13" s="15" t="n">
        <x:v>92.29</x:v>
      </x:c>
      <x:c r="G13" s="15" t="n">
        <x:v>-0.85</x:v>
      </x:c>
      <x:c r="H13" s="15" t="n">
        <x:v>92.89</x:v>
      </x:c>
      <x:c r="I13" s="10" t="str">
        <x:v>92-94分</x:v>
      </x:c>
      <x:c r="J13" s="14" t="b">
        <x:v>0</x:v>
      </x:c>
    </x:row>
    <x:row r="14">
      <x:c r="A14" s="10" t="str">
        <x:v>CG2026009</x:v>
      </x:c>
      <x:c r="B14" s="10" t="str">
        <x:v>重庆智慧养老体系建设研究</x:v>
      </x:c>
      <x:c r="C14" s="10" t="str">
        <x:v>一等奖</x:v>
      </x:c>
      <x:c r="D14" s="10" t="n">
        <x:v>13</x:v>
      </x:c>
      <x:c r="E14" s="15" t="n">
        <x:v>92.94</x:v>
      </x:c>
      <x:c r="F14" s="15" t="n">
        <x:v>92.59</x:v>
      </x:c>
      <x:c r="G14" s="15" t="n">
        <x:v>-0.35</x:v>
      </x:c>
      <x:c r="H14" s="15" t="n">
        <x:v>92.84</x:v>
      </x:c>
      <x:c r="I14" s="10" t="str">
        <x:v>92-94分</x:v>
      </x:c>
      <x:c r="J14" s="14" t="b">
        <x:v>0</x:v>
      </x:c>
    </x:row>
    <x:row r="15">
      <x:c r="A15" s="10" t="str">
        <x:v>CG2026086</x:v>
      </x:c>
      <x:c r="B15" s="10" t="str">
        <x:v>重庆前瞻布局未来产业方向研究</x:v>
      </x:c>
      <x:c r="C15" s="10" t="str">
        <x:v>一等奖</x:v>
      </x:c>
      <x:c r="D15" s="10" t="n">
        <x:v>14</x:v>
      </x:c>
      <x:c r="E15" s="15" t="n">
        <x:v>92.84</x:v>
      </x:c>
      <x:c r="F15" s="15" t="n">
        <x:v>92.34</x:v>
      </x:c>
      <x:c r="G15" s="15" t="n">
        <x:v>-0.5</x:v>
      </x:c>
      <x:c r="H15" s="15" t="n">
        <x:v>92.69</x:v>
      </x:c>
      <x:c r="I15" s="10" t="str">
        <x:v>92-94分</x:v>
      </x:c>
      <x:c r="J15" s="14" t="b">
        <x:v>0</x:v>
      </x:c>
    </x:row>
    <x:row r="16">
      <x:c r="A16" s="10" t="str">
        <x:v>CG2026091</x:v>
      </x:c>
      <x:c r="B16" s="10" t="str">
        <x:v>提升重庆中心城区发展能级和综合竞争力研究</x:v>
      </x:c>
      <x:c r="C16" s="10" t="str">
        <x:v>一等奖</x:v>
      </x:c>
      <x:c r="D16" s="10" t="n">
        <x:v>15</x:v>
      </x:c>
      <x:c r="E16" s="15" t="n">
        <x:v>92.64</x:v>
      </x:c>
      <x:c r="F16" s="15" t="n">
        <x:v>92.74</x:v>
      </x:c>
      <x:c r="G16" s="15" t="n">
        <x:v>0.1</x:v>
      </x:c>
      <x:c r="H16" s="15" t="n">
        <x:v>92.67</x:v>
      </x:c>
      <x:c r="I16" s="10" t="str">
        <x:v>92-94分</x:v>
      </x:c>
      <x:c r="J16" s="14" t="b">
        <x:v>0</x:v>
      </x:c>
    </x:row>
    <x:row r="17">
      <x:c r="A17" s="10" t="str">
        <x:v>CG2026028</x:v>
      </x:c>
      <x:c r="B17" s="10" t="str">
        <x:v>发挥通道物流和运营组织中心作用加快西部陆海新通道建设研究</x:v>
      </x:c>
      <x:c r="C17" s="10" t="str">
        <x:v>一等奖</x:v>
      </x:c>
      <x:c r="D17" s="10" t="n">
        <x:v>16</x:v>
      </x:c>
      <x:c r="E17" s="15" t="n">
        <x:v>92.62</x:v>
      </x:c>
      <x:c r="F17" s="15" t="n">
        <x:v>92.56</x:v>
      </x:c>
      <x:c r="G17" s="15" t="n">
        <x:v>-0.06</x:v>
      </x:c>
      <x:c r="H17" s="15" t="n">
        <x:v>92.6</x:v>
      </x:c>
      <x:c r="I17" s="10" t="str">
        <x:v>92-94分</x:v>
      </x:c>
      <x:c r="J17" s="14" t="b">
        <x:v>0</x:v>
      </x:c>
    </x:row>
    <x:row r="18">
      <x:c r="A18" s="10" t="str">
        <x:v>CG2026023</x:v>
      </x:c>
      <x:c r="B18" s="10" t="str">
        <x:v>重庆智能网联新能源汽车产业链供应链韧性和安全水平提升研究</x:v>
      </x:c>
      <x:c r="C18" s="10" t="str">
        <x:v>一等奖</x:v>
      </x:c>
      <x:c r="D18" s="10" t="n">
        <x:v>17</x:v>
      </x:c>
      <x:c r="E18" s="15" t="n">
        <x:v>92.38</x:v>
      </x:c>
      <x:c r="F18" s="15" t="n">
        <x:v>92.87</x:v>
      </x:c>
      <x:c r="G18" s="15" t="n">
        <x:v>0.49</x:v>
      </x:c>
      <x:c r="H18" s="15" t="n">
        <x:v>92.53</x:v>
      </x:c>
      <x:c r="I18" s="10" t="str">
        <x:v>92-94分</x:v>
      </x:c>
      <x:c r="J18" s="14" t="b">
        <x:v>0</x:v>
      </x:c>
    </x:row>
    <x:row r="19">
      <x:c r="A19" s="10" t="str">
        <x:v>CG2026044</x:v>
      </x:c>
      <x:c r="B19" s="10" t="str">
        <x:v>发挥通道物流和运营组织中心作用加快西部陆海新通道建设研究</x:v>
      </x:c>
      <x:c r="C19" s="10" t="str">
        <x:v>一等奖</x:v>
      </x:c>
      <x:c r="D19" s="10" t="n">
        <x:v>18</x:v>
      </x:c>
      <x:c r="E19" s="15" t="n">
        <x:v>92.38</x:v>
      </x:c>
      <x:c r="F19" s="15" t="n">
        <x:v>92.68</x:v>
      </x:c>
      <x:c r="G19" s="15" t="n">
        <x:v>0.3</x:v>
      </x:c>
      <x:c r="H19" s="15" t="n">
        <x:v>92.47</x:v>
      </x:c>
      <x:c r="I19" s="10" t="str">
        <x:v>92-94分</x:v>
      </x:c>
      <x:c r="J19" s="14" t="b">
        <x:v>0</x:v>
      </x:c>
    </x:row>
    <x:row r="20">
      <x:c r="A20" s="10" t="str">
        <x:v>CG2026027</x:v>
      </x:c>
      <x:c r="B20" s="10" t="str">
        <x:v>重庆智能网联新能源汽车产业链供应链韧性和安全水平提升研究</x:v>
      </x:c>
      <x:c r="C20" s="10" t="str">
        <x:v>一等奖</x:v>
      </x:c>
      <x:c r="D20" s="10" t="n">
        <x:v>19</x:v>
      </x:c>
      <x:c r="E20" s="15" t="n">
        <x:v>92.22</x:v>
      </x:c>
      <x:c r="F20" s="15" t="n">
        <x:v>92.61</x:v>
      </x:c>
      <x:c r="G20" s="15" t="n">
        <x:v>0.39</x:v>
      </x:c>
      <x:c r="H20" s="15" t="n">
        <x:v>92.33</x:v>
      </x:c>
      <x:c r="I20" s="10" t="str">
        <x:v>92-94分</x:v>
      </x:c>
      <x:c r="J20" s="14" t="b">
        <x:v>0</x:v>
      </x:c>
    </x:row>
    <x:row r="21">
      <x:c r="A21" s="10" t="str">
        <x:v>CG2026088</x:v>
      </x:c>
      <x:c r="B21" s="10" t="str">
        <x:v>重庆生物医药产业发展战略研究</x:v>
      </x:c>
      <x:c r="C21" s="10" t="str">
        <x:v>一等奖</x:v>
      </x:c>
      <x:c r="D21" s="10" t="n">
        <x:v>20</x:v>
      </x:c>
      <x:c r="E21" s="15" t="n">
        <x:v>92.32</x:v>
      </x:c>
      <x:c r="F21" s="15" t="n">
        <x:v>92.33</x:v>
      </x:c>
      <x:c r="G21" s="15" t="n">
        <x:v>0.01</x:v>
      </x:c>
      <x:c r="H21" s="15" t="n">
        <x:v>92.32</x:v>
      </x:c>
      <x:c r="I21" s="10" t="str">
        <x:v>92-94分</x:v>
      </x:c>
      <x:c r="J21" s="14" t="b">
        <x:v>1</x:v>
      </x:c>
    </x:row>
    <x:row r="22">
      <x:c r="A22" s="10" t="str">
        <x:v>CG2026049</x:v>
      </x:c>
      <x:c r="B22" s="10" t="str">
        <x:v>重庆智慧养老体系建设研究</x:v>
      </x:c>
      <x:c r="C22" s="10" t="str">
        <x:v>一等奖</x:v>
      </x:c>
      <x:c r="D22" s="10" t="n">
        <x:v>21</x:v>
      </x:c>
      <x:c r="E22" s="15" t="n">
        <x:v>92.2</x:v>
      </x:c>
      <x:c r="F22" s="15" t="n">
        <x:v>92.54</x:v>
      </x:c>
      <x:c r="G22" s="15" t="n">
        <x:v>0.34</x:v>
      </x:c>
      <x:c r="H22" s="15" t="n">
        <x:v>92.3</x:v>
      </x:c>
      <x:c r="I22" s="10" t="str">
        <x:v>92-94分</x:v>
      </x:c>
      <x:c r="J22" s="14" t="b">
        <x:v>1</x:v>
      </x:c>
    </x:row>
    <x:row r="23">
      <x:c r="A23" s="10" t="str">
        <x:v>CG2026007</x:v>
      </x:c>
      <x:c r="B23" s="10" t="str">
        <x:v>学分银行的社会功能及其扩散路径研究</x:v>
      </x:c>
      <x:c r="C23" s="10" t="str">
        <x:v>一等奖</x:v>
      </x:c>
      <x:c r="D23" s="10" t="n">
        <x:v>22</x:v>
      </x:c>
      <x:c r="E23" s="15" t="n">
        <x:v>92.24</x:v>
      </x:c>
      <x:c r="F23" s="15" t="n">
        <x:v>92.41</x:v>
      </x:c>
      <x:c r="G23" s="15" t="n">
        <x:v>0.17</x:v>
      </x:c>
      <x:c r="H23" s="15" t="n">
        <x:v>92.29</x:v>
      </x:c>
      <x:c r="I23" s="10" t="str">
        <x:v>92-94分</x:v>
      </x:c>
      <x:c r="J23" s="14" t="b">
        <x:v>1</x:v>
      </x:c>
    </x:row>
    <x:row r="24">
      <x:c r="A24" s="10" t="str">
        <x:v>CG2026048</x:v>
      </x:c>
      <x:c r="B24" s="10" t="str">
        <x:v>重庆前瞻布局未来产业方向研究</x:v>
      </x:c>
      <x:c r="C24" s="10" t="str">
        <x:v>一等奖</x:v>
      </x:c>
      <x:c r="D24" s="10" t="n">
        <x:v>23</x:v>
      </x:c>
      <x:c r="E24" s="15" t="n">
        <x:v>92.1</x:v>
      </x:c>
      <x:c r="F24" s="15" t="n">
        <x:v>92.64</x:v>
      </x:c>
      <x:c r="G24" s="15" t="n">
        <x:v>0.54</x:v>
      </x:c>
      <x:c r="H24" s="15" t="n">
        <x:v>92.26</x:v>
      </x:c>
      <x:c r="I24" s="10" t="str">
        <x:v>92-94分</x:v>
      </x:c>
      <x:c r="J24" s="14" t="b">
        <x:v>1</x:v>
      </x:c>
    </x:row>
    <x:row r="25">
      <x:c r="A25" s="10" t="str">
        <x:v>CG2026002</x:v>
      </x:c>
      <x:c r="B25" s="10" t="str">
        <x:v>重庆实施长江十年禁渔工作面临的问题及对策研究</x:v>
      </x:c>
      <x:c r="C25" s="10" t="str">
        <x:v>一等奖</x:v>
      </x:c>
      <x:c r="D25" s="10" t="n">
        <x:v>24</x:v>
      </x:c>
      <x:c r="E25" s="15" t="n">
        <x:v>91.96</x:v>
      </x:c>
      <x:c r="F25" s="15" t="n">
        <x:v>92.69</x:v>
      </x:c>
      <x:c r="G25" s="15" t="n">
        <x:v>0.73</x:v>
      </x:c>
      <x:c r="H25" s="15" t="n">
        <x:v>92.18</x:v>
      </x:c>
      <x:c r="I25" s="10" t="str">
        <x:v>92-94分</x:v>
      </x:c>
      <x:c r="J25" s="14" t="b">
        <x:v>1</x:v>
      </x:c>
    </x:row>
    <x:row r="26">
      <x:c r="A26" s="10" t="str">
        <x:v>CG2026005</x:v>
      </x:c>
      <x:c r="B26" s="10" t="str">
        <x:v>重庆促进对外贸易创新发展研究</x:v>
      </x:c>
      <x:c r="C26" s="10" t="str">
        <x:v>二等奖</x:v>
      </x:c>
      <x:c r="D26" s="10" t="n">
        <x:v>2</x:v>
      </x:c>
      <x:c r="E26" s="15" t="n">
        <x:v>92.02</x:v>
      </x:c>
      <x:c r="F26" s="15" t="n">
        <x:v>92.48</x:v>
      </x:c>
      <x:c r="G26" s="15" t="n">
        <x:v>0.46</x:v>
      </x:c>
      <x:c r="H26" s="15" t="n">
        <x:v>92.15</x:v>
      </x:c>
      <x:c r="I26" s="10" t="str">
        <x:v>92-94分</x:v>
      </x:c>
      <x:c r="J26" s="14" t="b">
        <x:v>0</x:v>
      </x:c>
    </x:row>
    <x:row r="27">
      <x:c r="A27" s="10" t="str">
        <x:v>CG2026026</x:v>
      </x:c>
      <x:c r="B27" s="10" t="str">
        <x:v>重庆智能网联新能源汽车产业链供应链韧性和安全水平提升研究</x:v>
      </x:c>
      <x:c r="C27" s="10" t="str">
        <x:v>二等奖</x:v>
      </x:c>
      <x:c r="D27" s="10" t="n">
        <x:v>1</x:v>
      </x:c>
      <x:c r="E27" s="15" t="n">
        <x:v>92.04</x:v>
      </x:c>
      <x:c r="F27" s="15" t="n">
        <x:v>92.4</x:v>
      </x:c>
      <x:c r="G27" s="15" t="n">
        <x:v>0.36</x:v>
      </x:c>
      <x:c r="H27" s="15" t="n">
        <x:v>92.15</x:v>
      </x:c>
      <x:c r="I27" s="10" t="str">
        <x:v>92-94分</x:v>
      </x:c>
      <x:c r="J27" s="14" t="b">
        <x:v>0</x:v>
      </x:c>
    </x:row>
    <x:row r="28">
      <x:c r="A28" s="10" t="str">
        <x:v>CG2026089</x:v>
      </x:c>
      <x:c r="B28" s="10" t="str">
        <x:v>成渝地区双城经济圈智慧文旅协同创新研究</x:v>
      </x:c>
      <x:c r="C28" s="10" t="str">
        <x:v>二等奖</x:v>
      </x:c>
      <x:c r="D28" s="10" t="n">
        <x:v>3</x:v>
      </x:c>
      <x:c r="E28" s="15" t="n">
        <x:v>91.72</x:v>
      </x:c>
      <x:c r="F28" s="15" t="n">
        <x:v>92.61</x:v>
      </x:c>
      <x:c r="G28" s="15" t="n">
        <x:v>0.89</x:v>
      </x:c>
      <x:c r="H28" s="15" t="n">
        <x:v>91.98</x:v>
      </x:c>
      <x:c r="I28" s="10" t="str">
        <x:v>90-92分</x:v>
      </x:c>
      <x:c r="J28" s="14" t="b">
        <x:v>0</x:v>
      </x:c>
    </x:row>
    <x:row r="29">
      <x:c r="A29" s="10" t="str">
        <x:v>CG2026087</x:v>
      </x:c>
      <x:c r="B29" s="10" t="str">
        <x:v>发挥通道物流和运营组织中心作用加快西部陆海新通道建设研究</x:v>
      </x:c>
      <x:c r="C29" s="10" t="str">
        <x:v>二等奖</x:v>
      </x:c>
      <x:c r="D29" s="10" t="n">
        <x:v>4</x:v>
      </x:c>
      <x:c r="E29" s="15" t="n">
        <x:v>91.66</x:v>
      </x:c>
      <x:c r="F29" s="15" t="n">
        <x:v>92.6</x:v>
      </x:c>
      <x:c r="G29" s="15" t="n">
        <x:v>0.94</x:v>
      </x:c>
      <x:c r="H29" s="15" t="n">
        <x:v>91.94</x:v>
      </x:c>
      <x:c r="I29" s="10" t="str">
        <x:v>90-92分</x:v>
      </x:c>
      <x:c r="J29" s="14" t="b">
        <x:v>0</x:v>
      </x:c>
    </x:row>
    <x:row r="30">
      <x:c r="A30" s="10" t="str">
        <x:v>CG2026046</x:v>
      </x:c>
      <x:c r="B30" s="10" t="str">
        <x:v>重庆城乡融合发展的突破点研究</x:v>
      </x:c>
      <x:c r="C30" s="10" t="str">
        <x:v>二等奖</x:v>
      </x:c>
      <x:c r="D30" s="10" t="n">
        <x:v>5</x:v>
      </x:c>
      <x:c r="E30" s="15" t="n">
        <x:v>91.46</x:v>
      </x:c>
      <x:c r="F30" s="15" t="n">
        <x:v>92.96</x:v>
      </x:c>
      <x:c r="G30" s="15" t="n">
        <x:v>1.5</x:v>
      </x:c>
      <x:c r="H30" s="15" t="n">
        <x:v>91.91</x:v>
      </x:c>
      <x:c r="I30" s="10" t="str">
        <x:v>90-92分</x:v>
      </x:c>
      <x:c r="J30" s="14" t="b">
        <x:v>0</x:v>
      </x:c>
    </x:row>
    <x:row r="31">
      <x:c r="A31" s="10" t="str">
        <x:v>CG2026076</x:v>
      </x:c>
      <x:c r="B31" s="10" t="str">
        <x:v>重庆城乡融合发展的突破点研究</x:v>
      </x:c>
      <x:c r="C31" s="10" t="str">
        <x:v>二等奖</x:v>
      </x:c>
      <x:c r="D31" s="10" t="n">
        <x:v>6</x:v>
      </x:c>
      <x:c r="E31" s="15" t="n">
        <x:v>89.9</x:v>
      </x:c>
      <x:c r="F31" s="15" t="n">
        <x:v>87.77</x:v>
      </x:c>
      <x:c r="G31" s="15" t="n">
        <x:v>-2.13</x:v>
      </x:c>
      <x:c r="H31" s="15" t="n">
        <x:v>89.26</x:v>
      </x:c>
      <x:c r="I31" s="10" t="str">
        <x:v>88-90分</x:v>
      </x:c>
      <x:c r="J31" s="14" t="b">
        <x:v>0</x:v>
      </x:c>
    </x:row>
    <x:row r="32">
      <x:c r="A32" s="10" t="str">
        <x:v>CG2026077</x:v>
      </x:c>
      <x:c r="B32" s="10" t="str">
        <x:v>重庆智能网联新能源汽车产业链供应链韧性和安全水平提升研究</x:v>
      </x:c>
      <x:c r="C32" s="10" t="str">
        <x:v>二等奖</x:v>
      </x:c>
      <x:c r="D32" s="10" t="n">
        <x:v>7</x:v>
      </x:c>
      <x:c r="E32" s="15" t="n">
        <x:v>89.9</x:v>
      </x:c>
      <x:c r="F32" s="15" t="n">
        <x:v>87.67</x:v>
      </x:c>
      <x:c r="G32" s="15" t="n">
        <x:v>-2.23</x:v>
      </x:c>
      <x:c r="H32" s="15" t="n">
        <x:v>89.23</x:v>
      </x:c>
      <x:c r="I32" s="10" t="str">
        <x:v>88-90分</x:v>
      </x:c>
      <x:c r="J32" s="14" t="b">
        <x:v>0</x:v>
      </x:c>
    </x:row>
    <x:row r="33">
      <x:c r="A33" s="10" t="str">
        <x:v>CG2026075</x:v>
      </x:c>
      <x:c r="B33" s="10" t="str">
        <x:v>重庆市农产品冷链物流发展现状及对策研究</x:v>
      </x:c>
      <x:c r="C33" s="10" t="str">
        <x:v>二等奖</x:v>
      </x:c>
      <x:c r="D33" s="10" t="n">
        <x:v>8</x:v>
      </x:c>
      <x:c r="E33" s="15" t="n">
        <x:v>89.9</x:v>
      </x:c>
      <x:c r="F33" s="15" t="n">
        <x:v>87.66</x:v>
      </x:c>
      <x:c r="G33" s="15" t="n">
        <x:v>-2.24</x:v>
      </x:c>
      <x:c r="H33" s="15" t="n">
        <x:v>89.23</x:v>
      </x:c>
      <x:c r="I33" s="10" t="str">
        <x:v>88-90分</x:v>
      </x:c>
      <x:c r="J33" s="14" t="b">
        <x:v>0</x:v>
      </x:c>
    </x:row>
    <x:row r="34">
      <x:c r="A34" s="10" t="str">
        <x:v>CG2026073</x:v>
      </x:c>
      <x:c r="B34" s="10" t="str">
        <x:v>重庆生物医药产业发展战略研究</x:v>
      </x:c>
      <x:c r="C34" s="10" t="str">
        <x:v>二等奖</x:v>
      </x:c>
      <x:c r="D34" s="10" t="n">
        <x:v>9</x:v>
      </x:c>
      <x:c r="E34" s="15" t="n">
        <x:v>89.9</x:v>
      </x:c>
      <x:c r="F34" s="15" t="n">
        <x:v>87.6</x:v>
      </x:c>
      <x:c r="G34" s="15" t="n">
        <x:v>-2.3</x:v>
      </x:c>
      <x:c r="H34" s="15" t="n">
        <x:v>89.21</x:v>
      </x:c>
      <x:c r="I34" s="10" t="str">
        <x:v>88-90分</x:v>
      </x:c>
      <x:c r="J34" s="14" t="b">
        <x:v>0</x:v>
      </x:c>
    </x:row>
    <x:row r="35">
      <x:c r="A35" s="10" t="str">
        <x:v>CG2026079</x:v>
      </x:c>
      <x:c r="B35" s="10" t="str">
        <x:v>重庆房地产业转型发展研究</x:v>
      </x:c>
      <x:c r="C35" s="10" t="str">
        <x:v>二等奖</x:v>
      </x:c>
      <x:c r="D35" s="10" t="n">
        <x:v>11</x:v>
      </x:c>
      <x:c r="E35" s="15" t="n">
        <x:v>89.9</x:v>
      </x:c>
      <x:c r="F35" s="15" t="n">
        <x:v>87.48</x:v>
      </x:c>
      <x:c r="G35" s="15" t="n">
        <x:v>-2.42</x:v>
      </x:c>
      <x:c r="H35" s="15" t="n">
        <x:v>89.17</x:v>
      </x:c>
      <x:c r="I35" s="10" t="str">
        <x:v>88-90分</x:v>
      </x:c>
      <x:c r="J35" s="14" t="b">
        <x:v>0</x:v>
      </x:c>
    </x:row>
    <x:row r="36">
      <x:c r="A36" s="10" t="str">
        <x:v>CG2026074</x:v>
      </x:c>
      <x:c r="B36" s="10" t="str">
        <x:v>重庆推进社会主义现代化建设的短板、弱项及对策建议</x:v>
      </x:c>
      <x:c r="C36" s="10" t="str">
        <x:v>二等奖</x:v>
      </x:c>
      <x:c r="D36" s="10" t="n">
        <x:v>10</x:v>
      </x:c>
      <x:c r="E36" s="15" t="n">
        <x:v>89.9</x:v>
      </x:c>
      <x:c r="F36" s="15" t="n">
        <x:v>87.46</x:v>
      </x:c>
      <x:c r="G36" s="15" t="n">
        <x:v>-2.44</x:v>
      </x:c>
      <x:c r="H36" s="15" t="n">
        <x:v>89.17</x:v>
      </x:c>
      <x:c r="I36" s="10" t="str">
        <x:v>88-90分</x:v>
      </x:c>
      <x:c r="J36" s="14" t="b">
        <x:v>0</x:v>
      </x:c>
    </x:row>
    <x:row r="37">
      <x:c r="A37" s="10" t="str">
        <x:v>CG2026071</x:v>
      </x:c>
      <x:c r="B37" s="10" t="str">
        <x:v>重庆科技创新面临的体制机制问题研究</x:v>
      </x:c>
      <x:c r="C37" s="10" t="str">
        <x:v>二等奖</x:v>
      </x:c>
      <x:c r="D37" s="10" t="n">
        <x:v>13</x:v>
      </x:c>
      <x:c r="E37" s="15" t="n">
        <x:v>89.9</x:v>
      </x:c>
      <x:c r="F37" s="15" t="n">
        <x:v>87.34</x:v>
      </x:c>
      <x:c r="G37" s="15" t="n">
        <x:v>-2.56</x:v>
      </x:c>
      <x:c r="H37" s="15" t="n">
        <x:v>89.13</x:v>
      </x:c>
      <x:c r="I37" s="10" t="str">
        <x:v>88-90分</x:v>
      </x:c>
      <x:c r="J37" s="14" t="b">
        <x:v>0</x:v>
      </x:c>
    </x:row>
    <x:row r="38">
      <x:c r="A38" s="10" t="str">
        <x:v>CG2026078</x:v>
      </x:c>
      <x:c r="B38" s="10" t="str">
        <x:v>重庆房地产业转型发展研究</x:v>
      </x:c>
      <x:c r="C38" s="10" t="str">
        <x:v>二等奖</x:v>
      </x:c>
      <x:c r="D38" s="10" t="n">
        <x:v>12</x:v>
      </x:c>
      <x:c r="E38" s="15" t="n">
        <x:v>89.9</x:v>
      </x:c>
      <x:c r="F38" s="15" t="n">
        <x:v>87.32</x:v>
      </x:c>
      <x:c r="G38" s="15" t="n">
        <x:v>-2.58</x:v>
      </x:c>
      <x:c r="H38" s="15" t="n">
        <x:v>89.13</x:v>
      </x:c>
      <x:c r="I38" s="10" t="str">
        <x:v>88-90分</x:v>
      </x:c>
      <x:c r="J38" s="14" t="b">
        <x:v>0</x:v>
      </x:c>
    </x:row>
    <x:row r="39">
      <x:c r="A39" s="10" t="str">
        <x:v>CG2026072</x:v>
      </x:c>
      <x:c r="B39" s="10" t="str">
        <x:v>提升重庆旅游文化品质和消费能级研究</x:v>
      </x:c>
      <x:c r="C39" s="10" t="str">
        <x:v>二等奖</x:v>
      </x:c>
      <x:c r="D39" s="10" t="n">
        <x:v>14</x:v>
      </x:c>
      <x:c r="E39" s="15" t="n">
        <x:v>89.9</x:v>
      </x:c>
      <x:c r="F39" s="15" t="n">
        <x:v>87.26</x:v>
      </x:c>
      <x:c r="G39" s="15" t="n">
        <x:v>-2.64</x:v>
      </x:c>
      <x:c r="H39" s="15" t="n">
        <x:v>89.11</x:v>
      </x:c>
      <x:c r="I39" s="10" t="str">
        <x:v>88-90分</x:v>
      </x:c>
      <x:c r="J39" s="14" t="b">
        <x:v>0</x:v>
      </x:c>
    </x:row>
    <x:row r="40">
      <x:c r="A40" s="10" t="str">
        <x:v>CG2026014</x:v>
      </x:c>
      <x:c r="B40" s="10" t="str">
        <x:v>重庆智慧养老体系建设研究</x:v>
      </x:c>
      <x:c r="C40" s="10" t="str">
        <x:v>二等奖</x:v>
      </x:c>
      <x:c r="D40" s="10" t="n">
        <x:v>15</x:v>
      </x:c>
      <x:c r="E40" s="15" t="n">
        <x:v>88.4</x:v>
      </x:c>
      <x:c r="F40" s="15" t="n">
        <x:v>87.96</x:v>
      </x:c>
      <x:c r="G40" s="15" t="n">
        <x:v>-0.44</x:v>
      </x:c>
      <x:c r="H40" s="15" t="n">
        <x:v>88.27</x:v>
      </x:c>
      <x:c r="I40" s="10" t="str">
        <x:v>88-90分</x:v>
      </x:c>
      <x:c r="J40" s="14" t="b">
        <x:v>0</x:v>
      </x:c>
    </x:row>
    <x:row r="41">
      <x:c r="A41" s="10" t="str">
        <x:v>CG2026058</x:v>
      </x:c>
      <x:c r="B41" s="10" t="str">
        <x:v>重庆智能网联新能源汽车产业链供应链韧性和安全水平提升研究</x:v>
      </x:c>
      <x:c r="C41" s="10" t="str">
        <x:v>二等奖</x:v>
      </x:c>
      <x:c r="D41" s="10" t="n">
        <x:v>16</x:v>
      </x:c>
      <x:c r="E41" s="15" t="n">
        <x:v>88.54</x:v>
      </x:c>
      <x:c r="F41" s="15" t="n">
        <x:v>87.54</x:v>
      </x:c>
      <x:c r="G41" s="15" t="n">
        <x:v>-1</x:v>
      </x:c>
      <x:c r="H41" s="15" t="n">
        <x:v>88.24</x:v>
      </x:c>
      <x:c r="I41" s="10" t="str">
        <x:v>88-90分</x:v>
      </x:c>
      <x:c r="J41" s="14" t="b">
        <x:v>0</x:v>
      </x:c>
    </x:row>
    <x:row r="42">
      <x:c r="A42" s="10" t="str">
        <x:v>CG2026015</x:v>
      </x:c>
      <x:c r="B42" s="10" t="str">
        <x:v>重庆以数字化变革推进文化强市建设研究</x:v>
      </x:c>
      <x:c r="C42" s="10" t="str">
        <x:v>二等奖</x:v>
      </x:c>
      <x:c r="D42" s="10" t="n">
        <x:v>17</x:v>
      </x:c>
      <x:c r="E42" s="15" t="n">
        <x:v>88.4</x:v>
      </x:c>
      <x:c r="F42" s="15" t="n">
        <x:v>87.65</x:v>
      </x:c>
      <x:c r="G42" s="15" t="n">
        <x:v>-0.75</x:v>
      </x:c>
      <x:c r="H42" s="15" t="n">
        <x:v>88.18</x:v>
      </x:c>
      <x:c r="I42" s="10" t="str">
        <x:v>88-90分</x:v>
      </x:c>
      <x:c r="J42" s="14" t="b">
        <x:v>0</x:v>
      </x:c>
    </x:row>
    <x:row r="43">
      <x:c r="A43" s="10" t="str">
        <x:v>CG2026013</x:v>
      </x:c>
      <x:c r="B43" s="10" t="str">
        <x:v>重庆智慧养老体系建设研究</x:v>
      </x:c>
      <x:c r="C43" s="10" t="str">
        <x:v>二等奖</x:v>
      </x:c>
      <x:c r="D43" s="10" t="n">
        <x:v>19</x:v>
      </x:c>
      <x:c r="E43" s="15" t="n">
        <x:v>88.04</x:v>
      </x:c>
      <x:c r="F43" s="15" t="n">
        <x:v>87.74</x:v>
      </x:c>
      <x:c r="G43" s="15" t="n">
        <x:v>-0.3</x:v>
      </x:c>
      <x:c r="H43" s="15" t="n">
        <x:v>87.95</x:v>
      </x:c>
      <x:c r="I43" s="10" t="str">
        <x:v>88分以下</x:v>
      </x:c>
      <x:c r="J43" s="14" t="b">
        <x:v>0</x:v>
      </x:c>
    </x:row>
    <x:row r="44">
      <x:c r="A44" s="10" t="str">
        <x:v>CG2026096</x:v>
      </x:c>
      <x:c r="B44" s="10" t="str">
        <x:v>促进重庆各类开发开放平台能级显著提升的对策措施研究</x:v>
      </x:c>
      <x:c r="C44" s="10" t="str">
        <x:v>二等奖</x:v>
      </x:c>
      <x:c r="D44" s="10" t="n">
        <x:v>18</x:v>
      </x:c>
      <x:c r="E44" s="15" t="n">
        <x:v>88.08</x:v>
      </x:c>
      <x:c r="F44" s="15" t="n">
        <x:v>87.64</x:v>
      </x:c>
      <x:c r="G44" s="15" t="n">
        <x:v>-0.44</x:v>
      </x:c>
      <x:c r="H44" s="15" t="n">
        <x:v>87.95</x:v>
      </x:c>
      <x:c r="I44" s="10" t="str">
        <x:v>88分以下</x:v>
      </x:c>
      <x:c r="J44" s="14" t="b">
        <x:v>0</x:v>
      </x:c>
    </x:row>
    <x:row r="45">
      <x:c r="A45" s="10" t="str">
        <x:v>CG2026021</x:v>
      </x:c>
      <x:c r="B45" s="10" t="str">
        <x:v>重庆城乡融合发展的突破点研究</x:v>
      </x:c>
      <x:c r="C45" s="10" t="str">
        <x:v>二等奖</x:v>
      </x:c>
      <x:c r="D45" s="10" t="n">
        <x:v>20</x:v>
      </x:c>
      <x:c r="E45" s="15" t="n">
        <x:v>87.98</x:v>
      </x:c>
      <x:c r="F45" s="15" t="n">
        <x:v>87.73</x:v>
      </x:c>
      <x:c r="G45" s="15" t="n">
        <x:v>-0.25</x:v>
      </x:c>
      <x:c r="H45" s="15" t="n">
        <x:v>87.91</x:v>
      </x:c>
      <x:c r="I45" s="10" t="str">
        <x:v>88分以下</x:v>
      </x:c>
      <x:c r="J45" s="14" t="b">
        <x:v>0</x:v>
      </x:c>
    </x:row>
    <x:row r="46">
      <x:c r="A46" s="10" t="str">
        <x:v>CG2026053</x:v>
      </x:c>
      <x:c r="B46" s="10" t="str">
        <x:v>重庆创新政府投资重大项目投融资模式研究</x:v>
      </x:c>
      <x:c r="C46" s="10" t="str">
        <x:v>二等奖</x:v>
      </x:c>
      <x:c r="D46" s="10" t="n">
        <x:v>21</x:v>
      </x:c>
      <x:c r="E46" s="15" t="n">
        <x:v>87.82</x:v>
      </x:c>
      <x:c r="F46" s="15" t="n">
        <x:v>88.05</x:v>
      </x:c>
      <x:c r="G46" s="15" t="n">
        <x:v>0.23</x:v>
      </x:c>
      <x:c r="H46" s="15" t="n">
        <x:v>87.89</x:v>
      </x:c>
      <x:c r="I46" s="10" t="str">
        <x:v>88分以下</x:v>
      </x:c>
      <x:c r="J46" s="14" t="b">
        <x:v>0</x:v>
      </x:c>
    </x:row>
    <x:row r="47">
      <x:c r="A47" s="10" t="str">
        <x:v>CG2026057</x:v>
      </x:c>
      <x:c r="B47" s="10" t="str">
        <x:v>重庆智能网联新能源汽车产业链供应链韧性和安全水平提升研究</x:v>
      </x:c>
      <x:c r="C47" s="10" t="str">
        <x:v>二等奖</x:v>
      </x:c>
      <x:c r="D47" s="10" t="n">
        <x:v>22</x:v>
      </x:c>
      <x:c r="E47" s="15" t="n">
        <x:v>87.92</x:v>
      </x:c>
      <x:c r="F47" s="15" t="n">
        <x:v>87.68</x:v>
      </x:c>
      <x:c r="G47" s="15" t="n">
        <x:v>-0.24</x:v>
      </x:c>
      <x:c r="H47" s="15" t="n">
        <x:v>87.84</x:v>
      </x:c>
      <x:c r="I47" s="10" t="str">
        <x:v>88分以下</x:v>
      </x:c>
      <x:c r="J47" s="14" t="b">
        <x:v>0</x:v>
      </x:c>
    </x:row>
    <x:row r="48">
      <x:c r="A48" s="10" t="str">
        <x:v>CG2026092</x:v>
      </x:c>
      <x:c r="B48" s="10" t="str">
        <x:v>重庆城乡融合发展的突破点研究</x:v>
      </x:c>
      <x:c r="C48" s="10" t="str">
        <x:v>二等奖</x:v>
      </x:c>
      <x:c r="D48" s="10" t="n">
        <x:v>23</x:v>
      </x:c>
      <x:c r="E48" s="15" t="n">
        <x:v>88</x:v>
      </x:c>
      <x:c r="F48" s="15" t="n">
        <x:v>87.42</x:v>
      </x:c>
      <x:c r="G48" s="15" t="n">
        <x:v>-0.58</x:v>
      </x:c>
      <x:c r="H48" s="15" t="n">
        <x:v>87.83</x:v>
      </x:c>
      <x:c r="I48" s="10" t="str">
        <x:v>88分以下</x:v>
      </x:c>
      <x:c r="J48" s="14" t="b">
        <x:v>0</x:v>
      </x:c>
    </x:row>
    <x:row r="49">
      <x:c r="A49" s="10" t="str">
        <x:v>CG2026054</x:v>
      </x:c>
      <x:c r="B49" s="10" t="str">
        <x:v>探索重庆媒体融合发展新路径研究</x:v>
      </x:c>
      <x:c r="C49" s="10" t="str">
        <x:v>二等奖</x:v>
      </x:c>
      <x:c r="D49" s="10" t="n">
        <x:v>24</x:v>
      </x:c>
      <x:c r="E49" s="15" t="n">
        <x:v>87.9</x:v>
      </x:c>
      <x:c r="F49" s="15" t="n">
        <x:v>87.55</x:v>
      </x:c>
      <x:c r="G49" s="15" t="n">
        <x:v>-0.35</x:v>
      </x:c>
      <x:c r="H49" s="15" t="n">
        <x:v>87.8</x:v>
      </x:c>
      <x:c r="I49" s="10" t="str">
        <x:v>88分以下</x:v>
      </x:c>
      <x:c r="J49" s="14" t="b">
        <x:v>0</x:v>
      </x:c>
    </x:row>
    <x:row r="50">
      <x:c r="A50" s="10" t="str">
        <x:v>CG2026025</x:v>
      </x:c>
      <x:c r="B50" s="10" t="str">
        <x:v>重庆智能网联新能源汽车产业链供应链韧性和安全水平提升研究</x:v>
      </x:c>
      <x:c r="C50" s="10" t="str">
        <x:v>二等奖</x:v>
      </x:c>
      <x:c r="D50" s="10" t="n">
        <x:v>25</x:v>
      </x:c>
      <x:c r="E50" s="15" t="n">
        <x:v>87.78</x:v>
      </x:c>
      <x:c r="F50" s="15" t="n">
        <x:v>87.71</x:v>
      </x:c>
      <x:c r="G50" s="15" t="n">
        <x:v>-0.07</x:v>
      </x:c>
      <x:c r="H50" s="15" t="n">
        <x:v>87.76</x:v>
      </x:c>
      <x:c r="I50" s="10" t="str">
        <x:v>88分以下</x:v>
      </x:c>
      <x:c r="J50" s="14" t="b">
        <x:v>0</x:v>
      </x:c>
    </x:row>
    <x:row r="51">
      <x:c r="A51" s="10" t="str">
        <x:v>CG2026032</x:v>
      </x:c>
      <x:c r="B51" s="10" t="str">
        <x:v>重庆创新政府投资重大项目投融资模式研究</x:v>
      </x:c>
      <x:c r="C51" s="10" t="str">
        <x:v>二等奖</x:v>
      </x:c>
      <x:c r="D51" s="10" t="n">
        <x:v>26</x:v>
      </x:c>
      <x:c r="E51" s="15" t="n">
        <x:v>87.8</x:v>
      </x:c>
      <x:c r="F51" s="15" t="n">
        <x:v>87.57</x:v>
      </x:c>
      <x:c r="G51" s="15" t="n">
        <x:v>-0.23</x:v>
      </x:c>
      <x:c r="H51" s="15" t="n">
        <x:v>87.73</x:v>
      </x:c>
      <x:c r="I51" s="10" t="str">
        <x:v>88分以下</x:v>
      </x:c>
      <x:c r="J51" s="14" t="b">
        <x:v>0</x:v>
      </x:c>
    </x:row>
    <x:row r="52">
      <x:c r="A52" s="10" t="str">
        <x:v>CG2026004</x:v>
      </x:c>
      <x:c r="B52" s="10" t="str">
        <x:v>重庆拓展一带一路经贸合作空间研究</x:v>
      </x:c>
      <x:c r="C52" s="10" t="str">
        <x:v>二等奖</x:v>
      </x:c>
      <x:c r="D52" s="10" t="n">
        <x:v>27</x:v>
      </x:c>
      <x:c r="E52" s="15" t="n">
        <x:v>87.56</x:v>
      </x:c>
      <x:c r="F52" s="15" t="n">
        <x:v>88.04</x:v>
      </x:c>
      <x:c r="G52" s="15" t="n">
        <x:v>0.48</x:v>
      </x:c>
      <x:c r="H52" s="15" t="n">
        <x:v>87.7</x:v>
      </x:c>
      <x:c r="I52" s="10" t="str">
        <x:v>88分以下</x:v>
      </x:c>
      <x:c r="J52" s="14" t="b">
        <x:v>0</x:v>
      </x:c>
    </x:row>
    <x:row r="53">
      <x:c r="A53" s="10" t="str">
        <x:v>CG2026035</x:v>
      </x:c>
      <x:c r="B53" s="10" t="str">
        <x:v>重庆智能网联新能源汽车产业链供应链韧性和安全水平提升研究</x:v>
      </x:c>
      <x:c r="C53" s="10" t="str">
        <x:v>二等奖</x:v>
      </x:c>
      <x:c r="D53" s="10" t="n">
        <x:v>28</x:v>
      </x:c>
      <x:c r="E53" s="15" t="n">
        <x:v>87.6</x:v>
      </x:c>
      <x:c r="F53" s="15" t="n">
        <x:v>87.82</x:v>
      </x:c>
      <x:c r="G53" s="15" t="n">
        <x:v>0.22</x:v>
      </x:c>
      <x:c r="H53" s="15" t="n">
        <x:v>87.67</x:v>
      </x:c>
      <x:c r="I53" s="10" t="str">
        <x:v>88分以下</x:v>
      </x:c>
      <x:c r="J53" s="14" t="b">
        <x:v>0</x:v>
      </x:c>
    </x:row>
    <x:row r="54">
      <x:c r="A54" s="10" t="str">
        <x:v>CG2026098</x:v>
      </x:c>
      <x:c r="B54" s="10" t="str">
        <x:v>重庆科技创新面临的体制机制问题研究</x:v>
      </x:c>
      <x:c r="C54" s="10" t="str">
        <x:v>二等奖</x:v>
      </x:c>
      <x:c r="D54" s="10" t="n">
        <x:v>29</x:v>
      </x:c>
      <x:c r="E54" s="15" t="n">
        <x:v>87.6</x:v>
      </x:c>
      <x:c r="F54" s="15" t="n">
        <x:v>87.71</x:v>
      </x:c>
      <x:c r="G54" s="15" t="n">
        <x:v>0.11</x:v>
      </x:c>
      <x:c r="H54" s="15" t="n">
        <x:v>87.63</x:v>
      </x:c>
      <x:c r="I54" s="10" t="str">
        <x:v>88分以下</x:v>
      </x:c>
      <x:c r="J54" s="14" t="b">
        <x:v>0</x:v>
      </x:c>
    </x:row>
    <x:row r="55">
      <x:c r="A55" s="10" t="str">
        <x:v>CG2026097</x:v>
      </x:c>
      <x:c r="B55" s="10" t="str">
        <x:v>重庆智慧养老体系建设研究</x:v>
      </x:c>
      <x:c r="C55" s="10" t="str">
        <x:v>二等奖</x:v>
      </x:c>
      <x:c r="D55" s="10" t="n">
        <x:v>30</x:v>
      </x:c>
      <x:c r="E55" s="15" t="n">
        <x:v>87.52</x:v>
      </x:c>
      <x:c r="F55" s="15" t="n">
        <x:v>87.75</x:v>
      </x:c>
      <x:c r="G55" s="15" t="n">
        <x:v>0.23</x:v>
      </x:c>
      <x:c r="H55" s="15" t="n">
        <x:v>87.59</x:v>
      </x:c>
      <x:c r="I55" s="10" t="str">
        <x:v>88分以下</x:v>
      </x:c>
      <x:c r="J55" s="14" t="b">
        <x:v>0</x:v>
      </x:c>
    </x:row>
    <x:row r="56">
      <x:c r="A56" s="10" t="str">
        <x:v>CG2026050</x:v>
      </x:c>
      <x:c r="B56" s="10" t="str">
        <x:v>如何发挥人民政协在全过程人民民主中的重要作用研究</x:v>
      </x:c>
      <x:c r="C56" s="10" t="str">
        <x:v>二等奖</x:v>
      </x:c>
      <x:c r="D56" s="10" t="n">
        <x:v>31</x:v>
      </x:c>
      <x:c r="E56" s="15" t="n">
        <x:v>87.74</x:v>
      </x:c>
      <x:c r="F56" s="15" t="n">
        <x:v>87.18</x:v>
      </x:c>
      <x:c r="G56" s="15" t="n">
        <x:v>-0.56</x:v>
      </x:c>
      <x:c r="H56" s="15" t="n">
        <x:v>87.57</x:v>
      </x:c>
      <x:c r="I56" s="10" t="str">
        <x:v>88分以下</x:v>
      </x:c>
      <x:c r="J56" s="14" t="b">
        <x:v>0</x:v>
      </x:c>
    </x:row>
    <x:row r="57">
      <x:c r="A57" s="10" t="str">
        <x:v>CG2026103</x:v>
      </x:c>
      <x:c r="B57" s="10" t="str">
        <x:v>提升重庆中心城区发展能级和综合竞争力研究</x:v>
      </x:c>
      <x:c r="C57" s="10" t="str">
        <x:v>二等奖</x:v>
      </x:c>
      <x:c r="D57" s="10" t="n">
        <x:v>32</x:v>
      </x:c>
      <x:c r="E57" s="15" t="n">
        <x:v>87.52</x:v>
      </x:c>
      <x:c r="F57" s="15" t="n">
        <x:v>87.54</x:v>
      </x:c>
      <x:c r="G57" s="15" t="n">
        <x:v>0.02</x:v>
      </x:c>
      <x:c r="H57" s="15" t="n">
        <x:v>87.52</x:v>
      </x:c>
      <x:c r="I57" s="10" t="str">
        <x:v>88分以下</x:v>
      </x:c>
      <x:c r="J57" s="14" t="b">
        <x:v>0</x:v>
      </x:c>
    </x:row>
    <x:row r="58">
      <x:c r="A58" s="10" t="str">
        <x:v>CG2026104</x:v>
      </x:c>
      <x:c r="B58" s="10" t="str">
        <x:v>提升重庆旅游文化品质和消费能级研究</x:v>
      </x:c>
      <x:c r="C58" s="10" t="str">
        <x:v>二等奖</x:v>
      </x:c>
      <x:c r="D58" s="10" t="n">
        <x:v>33</x:v>
      </x:c>
      <x:c r="E58" s="15" t="n">
        <x:v>87.48</x:v>
      </x:c>
      <x:c r="F58" s="15" t="n">
        <x:v>87.53</x:v>
      </x:c>
      <x:c r="G58" s="15" t="n">
        <x:v>0.05</x:v>
      </x:c>
      <x:c r="H58" s="15" t="n">
        <x:v>87.5</x:v>
      </x:c>
      <x:c r="I58" s="10" t="str">
        <x:v>88分以下</x:v>
      </x:c>
      <x:c r="J58" s="14" t="b">
        <x:v>0</x:v>
      </x:c>
    </x:row>
    <x:row r="59">
      <x:c r="A59" s="10" t="str">
        <x:v>CG2026042</x:v>
      </x:c>
      <x:c r="B59" s="10" t="str">
        <x:v>重庆前瞻布局未来产业方向研究</x:v>
      </x:c>
      <x:c r="C59" s="10" t="str">
        <x:v>二等奖</x:v>
      </x:c>
      <x:c r="D59" s="10" t="n">
        <x:v>34</x:v>
      </x:c>
      <x:c r="E59" s="15" t="n">
        <x:v>87.46</x:v>
      </x:c>
      <x:c r="F59" s="15" t="n">
        <x:v>87.5</x:v>
      </x:c>
      <x:c r="G59" s="15" t="n">
        <x:v>0.04</x:v>
      </x:c>
      <x:c r="H59" s="15" t="n">
        <x:v>87.47</x:v>
      </x:c>
      <x:c r="I59" s="10" t="str">
        <x:v>88分以下</x:v>
      </x:c>
      <x:c r="J59" s="14" t="b">
        <x:v>0</x:v>
      </x:c>
    </x:row>
    <x:row r="60">
      <x:c r="A60" s="10" t="str">
        <x:v>CG2026006</x:v>
      </x:c>
      <x:c r="B60" s="10" t="str">
        <x:v>重庆支持专精特新企业发展的对策研究</x:v>
      </x:c>
      <x:c r="C60" s="10" t="str">
        <x:v>二等奖</x:v>
      </x:c>
      <x:c r="D60" s="10" t="n">
        <x:v>35</x:v>
      </x:c>
      <x:c r="E60" s="15" t="n">
        <x:v>87.22</x:v>
      </x:c>
      <x:c r="F60" s="15" t="n">
        <x:v>87.69</x:v>
      </x:c>
      <x:c r="G60" s="15" t="n">
        <x:v>0.47</x:v>
      </x:c>
      <x:c r="H60" s="15" t="n">
        <x:v>87.36</x:v>
      </x:c>
      <x:c r="I60" s="10" t="str">
        <x:v>88分以下</x:v>
      </x:c>
      <x:c r="J60" s="14" t="b">
        <x:v>0</x:v>
      </x:c>
    </x:row>
    <x:row r="61">
      <x:c r="A61" s="10" t="str">
        <x:v>CG2026055</x:v>
      </x:c>
      <x:c r="B61" s="10" t="str">
        <x:v>探索重庆媒体融合发展新路径研究</x:v>
      </x:c>
      <x:c r="C61" s="10" t="str">
        <x:v>二等奖</x:v>
      </x:c>
      <x:c r="D61" s="10" t="n">
        <x:v>36</x:v>
      </x:c>
      <x:c r="E61" s="15" t="n">
        <x:v>87.44</x:v>
      </x:c>
      <x:c r="F61" s="15" t="n">
        <x:v>87.14</x:v>
      </x:c>
      <x:c r="G61" s="15" t="n">
        <x:v>-0.3</x:v>
      </x:c>
      <x:c r="H61" s="15" t="n">
        <x:v>87.35</x:v>
      </x:c>
      <x:c r="I61" s="10" t="str">
        <x:v>88分以下</x:v>
      </x:c>
      <x:c r="J61" s="14" t="b">
        <x:v>0</x:v>
      </x:c>
    </x:row>
    <x:row r="62">
      <x:c r="A62" s="10" t="str">
        <x:v>CG2026018</x:v>
      </x:c>
      <x:c r="B62" s="10" t="str">
        <x:v>重庆科技创新面临的体制机制问题研究</x:v>
      </x:c>
      <x:c r="C62" s="10" t="str">
        <x:v>二等奖</x:v>
      </x:c>
      <x:c r="D62" s="10" t="n">
        <x:v>37</x:v>
      </x:c>
      <x:c r="E62" s="15" t="n">
        <x:v>87.5</x:v>
      </x:c>
      <x:c r="F62" s="15" t="n">
        <x:v>86.84</x:v>
      </x:c>
      <x:c r="G62" s="15" t="n">
        <x:v>-0.66</x:v>
      </x:c>
      <x:c r="H62" s="15" t="n">
        <x:v>87.3</x:v>
      </x:c>
      <x:c r="I62" s="10" t="str">
        <x:v>88分以下</x:v>
      </x:c>
      <x:c r="J62" s="14" t="b">
        <x:v>1</x:v>
      </x:c>
    </x:row>
    <x:row r="63">
      <x:c r="A63" s="10" t="str">
        <x:v>CG2026093</x:v>
      </x:c>
      <x:c r="B63" s="10" t="str">
        <x:v>重庆智能网联新能源汽车产业链供应链韧性和安全水平提升研究</x:v>
      </x:c>
      <x:c r="C63" s="10" t="str">
        <x:v>二等奖</x:v>
      </x:c>
      <x:c r="D63" s="10" t="n">
        <x:v>38</x:v>
      </x:c>
      <x:c r="E63" s="15" t="n">
        <x:v>87.24</x:v>
      </x:c>
      <x:c r="F63" s="15" t="n">
        <x:v>87.34</x:v>
      </x:c>
      <x:c r="G63" s="15" t="n">
        <x:v>0.1</x:v>
      </x:c>
      <x:c r="H63" s="15" t="n">
        <x:v>87.27</x:v>
      </x:c>
      <x:c r="I63" s="10" t="str">
        <x:v>88分以下</x:v>
      </x:c>
      <x:c r="J63" s="14" t="b">
        <x:v>1</x:v>
      </x:c>
    </x:row>
    <x:row r="64">
      <x:c r="A64" s="10" t="str">
        <x:v>CG2026022</x:v>
      </x:c>
      <x:c r="B64" s="10" t="str">
        <x:v>重庆民营市场主体面临的困难及高质量发展研究</x:v>
      </x:c>
      <x:c r="C64" s="10" t="str">
        <x:v>二等奖</x:v>
      </x:c>
      <x:c r="D64" s="10" t="n">
        <x:v>39</x:v>
      </x:c>
      <x:c r="E64" s="15" t="n">
        <x:v>87.1</x:v>
      </x:c>
      <x:c r="F64" s="15" t="n">
        <x:v>87.57</x:v>
      </x:c>
      <x:c r="G64" s="15" t="n">
        <x:v>0.47</x:v>
      </x:c>
      <x:c r="H64" s="15" t="n">
        <x:v>87.24</x:v>
      </x:c>
      <x:c r="I64" s="10" t="str">
        <x:v>88分以下</x:v>
      </x:c>
      <x:c r="J64" s="14" t="b">
        <x:v>1</x:v>
      </x:c>
    </x:row>
    <x:row r="65">
      <x:c r="A65" s="10" t="str">
        <x:v>CG2026095</x:v>
      </x:c>
      <x:c r="B65" s="10" t="str">
        <x:v>重庆智能网联新能源汽车产业链供应链韧性和安全水平提升研究</x:v>
      </x:c>
      <x:c r="C65" s="10" t="str">
        <x:v>二等奖</x:v>
      </x:c>
      <x:c r="D65" s="10" t="n">
        <x:v>40</x:v>
      </x:c>
      <x:c r="E65" s="15" t="n">
        <x:v>87.18</x:v>
      </x:c>
      <x:c r="F65" s="15" t="n">
        <x:v>87.38</x:v>
      </x:c>
      <x:c r="G65" s="15" t="n">
        <x:v>0.2</x:v>
      </x:c>
      <x:c r="H65" s="15" t="n">
        <x:v>87.24</x:v>
      </x:c>
      <x:c r="I65" s="10" t="str">
        <x:v>88分以下</x:v>
      </x:c>
      <x:c r="J65" s="14" t="b">
        <x:v>1</x:v>
      </x:c>
    </x:row>
    <x:row r="66">
      <x:c r="A66" s="10" t="str">
        <x:v>CG2026030</x:v>
      </x:c>
      <x:c r="B66" s="10" t="str">
        <x:v>重庆城乡融合发展的突破点研究</x:v>
      </x:c>
      <x:c r="C66" s="10" t="str">
        <x:v>二等奖</x:v>
      </x:c>
      <x:c r="D66" s="10" t="n">
        <x:v>41</x:v>
      </x:c>
      <x:c r="E66" s="15" t="n">
        <x:v>87</x:v>
      </x:c>
      <x:c r="F66" s="15" t="n">
        <x:v>87.49</x:v>
      </x:c>
      <x:c r="G66" s="15" t="n">
        <x:v>0.49</x:v>
      </x:c>
      <x:c r="H66" s="15" t="n">
        <x:v>87.15</x:v>
      </x:c>
      <x:c r="I66" s="10" t="str">
        <x:v>88分以下</x:v>
      </x:c>
      <x:c r="J66" s="14" t="b">
        <x:v>1</x:v>
      </x:c>
    </x:row>
    <x:row r="67">
      <x:c r="A67" s="10" t="str">
        <x:v>CG2026019</x:v>
      </x:c>
      <x:c r="B67" s="10" t="str">
        <x:v>重庆创新政府投资重大项目投融资模式研究</x:v>
      </x:c>
      <x:c r="C67" s="10" t="str">
        <x:v>二等奖</x:v>
      </x:c>
      <x:c r="D67" s="10" t="n">
        <x:v>42</x:v>
      </x:c>
      <x:c r="E67" s="15" t="n">
        <x:v>86.96</x:v>
      </x:c>
      <x:c r="F67" s="15" t="n">
        <x:v>87.52</x:v>
      </x:c>
      <x:c r="G67" s="15" t="n">
        <x:v>0.56</x:v>
      </x:c>
      <x:c r="H67" s="15" t="n">
        <x:v>87.13</x:v>
      </x:c>
      <x:c r="I67" s="10" t="str">
        <x:v>88分以下</x:v>
      </x:c>
      <x:c r="J67" s="14" t="b">
        <x:v>1</x:v>
      </x:c>
    </x:row>
    <x:row r="68">
      <x:c r="A68" s="10" t="str">
        <x:v>CG2026029</x:v>
      </x:c>
      <x:c r="B68" s="10" t="str">
        <x:v>重庆智慧养老体系建设研究</x:v>
      </x:c>
      <x:c r="C68" s="10" t="str">
        <x:v>二等奖</x:v>
      </x:c>
      <x:c r="D68" s="10" t="n">
        <x:v>43</x:v>
      </x:c>
      <x:c r="E68" s="15" t="n">
        <x:v>87</x:v>
      </x:c>
      <x:c r="F68" s="15" t="n">
        <x:v>87.39</x:v>
      </x:c>
      <x:c r="G68" s="15" t="n">
        <x:v>0.39</x:v>
      </x:c>
      <x:c r="H68" s="15" t="n">
        <x:v>87.12</x:v>
      </x:c>
      <x:c r="I68" s="10" t="str">
        <x:v>88分以下</x:v>
      </x:c>
      <x:c r="J68" s="14" t="b">
        <x:v>1</x:v>
      </x:c>
    </x:row>
    <x:row r="69">
      <x:c r="A69" s="10" t="str">
        <x:v>CG2026056</x:v>
      </x:c>
      <x:c r="B69" s="10" t="str">
        <x:v>重庆民营市场主体面临的困难及高质量发展研究</x:v>
      </x:c>
      <x:c r="C69" s="10" t="str">
        <x:v>二等奖</x:v>
      </x:c>
      <x:c r="D69" s="10" t="n">
        <x:v>44</x:v>
      </x:c>
      <x:c r="E69" s="15" t="n">
        <x:v>86.8</x:v>
      </x:c>
      <x:c r="F69" s="15" t="n">
        <x:v>87.76</x:v>
      </x:c>
      <x:c r="G69" s="15" t="n">
        <x:v>0.96</x:v>
      </x:c>
      <x:c r="H69" s="15" t="n">
        <x:v>87.09</x:v>
      </x:c>
      <x:c r="I69" s="10" t="str">
        <x:v>88分以下</x:v>
      </x:c>
      <x:c r="J69" s="14" t="b">
        <x:v>1</x:v>
      </x:c>
    </x:row>
    <x:row r="70">
      <x:c r="A70" s="10" t="str">
        <x:v>CG2026010</x:v>
      </x:c>
      <x:c r="B70" s="10" t="str">
        <x:v>提升重庆旅游文化品质和消费能级研究</x:v>
      </x:c>
      <x:c r="C70" s="10" t="str">
        <x:v>二等奖</x:v>
      </x:c>
      <x:c r="D70" s="10" t="n">
        <x:v>45</x:v>
      </x:c>
      <x:c r="E70" s="15" t="n">
        <x:v>86.84</x:v>
      </x:c>
      <x:c r="F70" s="15" t="n">
        <x:v>87.56</x:v>
      </x:c>
      <x:c r="G70" s="15" t="n">
        <x:v>0.72</x:v>
      </x:c>
      <x:c r="H70" s="15" t="n">
        <x:v>87.06</x:v>
      </x:c>
      <x:c r="I70" s="10" t="str">
        <x:v>88分以下</x:v>
      </x:c>
      <x:c r="J70" s="14" t="b">
        <x:v>1</x:v>
      </x:c>
    </x:row>
    <x:row r="71">
      <x:c r="A71" s="10" t="str">
        <x:v>CG2026051</x:v>
      </x:c>
      <x:c r="B71" s="10" t="str">
        <x:v>重庆前瞻布局未来产业方向研究</x:v>
      </x:c>
      <x:c r="C71" s="10" t="str">
        <x:v>三等奖</x:v>
      </x:c>
      <x:c r="D71" s="10" t="n">
        <x:v>2</x:v>
      </x:c>
      <x:c r="E71" s="15" t="n">
        <x:v>86.76</x:v>
      </x:c>
      <x:c r="F71" s="15" t="n">
        <x:v>87.55</x:v>
      </x:c>
      <x:c r="G71" s="15" t="n">
        <x:v>0.79</x:v>
      </x:c>
      <x:c r="H71" s="15" t="n">
        <x:v>87</x:v>
      </x:c>
      <x:c r="I71" s="10" t="str">
        <x:v>88分以下</x:v>
      </x:c>
      <x:c r="J71" s="14" t="b">
        <x:v>0</x:v>
      </x:c>
    </x:row>
    <x:row r="72">
      <x:c r="A72" s="10" t="str">
        <x:v>CG2026094</x:v>
      </x:c>
      <x:c r="B72" s="10" t="str">
        <x:v>重庆科技创新面临的体制机制问题研究</x:v>
      </x:c>
      <x:c r="C72" s="10" t="str">
        <x:v>三等奖</x:v>
      </x:c>
      <x:c r="D72" s="10" t="n">
        <x:v>1</x:v>
      </x:c>
      <x:c r="E72" s="15" t="n">
        <x:v>86.82</x:v>
      </x:c>
      <x:c r="F72" s="15" t="n">
        <x:v>87.42</x:v>
      </x:c>
      <x:c r="G72" s="15" t="n">
        <x:v>0.6</x:v>
      </x:c>
      <x:c r="H72" s="15" t="n">
        <x:v>87</x:v>
      </x:c>
      <x:c r="I72" s="10" t="str">
        <x:v>88分以下</x:v>
      </x:c>
      <x:c r="J72" s="14" t="b">
        <x:v>0</x:v>
      </x:c>
    </x:row>
    <x:row r="73">
      <x:c r="A73" s="10" t="str">
        <x:v>CG2026031</x:v>
      </x:c>
      <x:c r="B73" s="10" t="str">
        <x:v>重庆科技创新面临的体制机制问题研究</x:v>
      </x:c>
      <x:c r="C73" s="10" t="str">
        <x:v>三等奖</x:v>
      </x:c>
      <x:c r="D73" s="10" t="n">
        <x:v>3</x:v>
      </x:c>
      <x:c r="E73" s="15" t="n">
        <x:v>86.88</x:v>
      </x:c>
      <x:c r="F73" s="15" t="n">
        <x:v>87.1</x:v>
      </x:c>
      <x:c r="G73" s="15" t="n">
        <x:v>0.22</x:v>
      </x:c>
      <x:c r="H73" s="15" t="n">
        <x:v>86.95</x:v>
      </x:c>
      <x:c r="I73" s="10" t="str">
        <x:v>88分以下</x:v>
      </x:c>
      <x:c r="J73" s="14" t="b">
        <x:v>0</x:v>
      </x:c>
    </x:row>
    <x:row r="74">
      <x:c r="A74" s="10" t="str">
        <x:v>CG2026052</x:v>
      </x:c>
      <x:c r="B74" s="10" t="str">
        <x:v>面向重庆未来发展需求的重大战略性项目研究</x:v>
      </x:c>
      <x:c r="C74" s="10" t="str">
        <x:v>三等奖</x:v>
      </x:c>
      <x:c r="D74" s="10" t="n">
        <x:v>4</x:v>
      </x:c>
      <x:c r="E74" s="15" t="n">
        <x:v>86.52</x:v>
      </x:c>
      <x:c r="F74" s="15" t="n">
        <x:v>87.87</x:v>
      </x:c>
      <x:c r="G74" s="15" t="n">
        <x:v>1.35</x:v>
      </x:c>
      <x:c r="H74" s="15" t="n">
        <x:v>86.92</x:v>
      </x:c>
      <x:c r="I74" s="10" t="str">
        <x:v>88分以下</x:v>
      </x:c>
      <x:c r="J74" s="14" t="b">
        <x:v>0</x:v>
      </x:c>
    </x:row>
    <x:row r="75">
      <x:c r="A75" s="10" t="str">
        <x:v>CG2026033</x:v>
      </x:c>
      <x:c r="B75" s="10" t="str">
        <x:v>重庆城乡融合发展的突破点研究</x:v>
      </x:c>
      <x:c r="C75" s="10" t="str">
        <x:v>三等奖</x:v>
      </x:c>
      <x:c r="D75" s="10" t="n">
        <x:v>5</x:v>
      </x:c>
      <x:c r="E75" s="15" t="n">
        <x:v>86.44</x:v>
      </x:c>
      <x:c r="F75" s="15" t="n">
        <x:v>87.29</x:v>
      </x:c>
      <x:c r="G75" s="15" t="n">
        <x:v>0.85</x:v>
      </x:c>
      <x:c r="H75" s="15" t="n">
        <x:v>86.7</x:v>
      </x:c>
      <x:c r="I75" s="10" t="str">
        <x:v>88分以下</x:v>
      </x:c>
      <x:c r="J75" s="14" t="b">
        <x:v>0</x:v>
      </x:c>
    </x:row>
    <x:row r="76">
      <x:c r="A76" s="10" t="str">
        <x:v>CG2026082</x:v>
      </x:c>
      <x:c r="B76" s="10" t="str">
        <x:v>重庆城乡融合发展的突破点研究</x:v>
      </x:c>
      <x:c r="C76" s="10" t="str">
        <x:v>三等奖</x:v>
      </x:c>
      <x:c r="D76" s="10" t="n">
        <x:v>6</x:v>
      </x:c>
      <x:c r="E76" s="15" t="n">
        <x:v>84.9</x:v>
      </x:c>
      <x:c r="F76" s="15" t="n">
        <x:v>82.74</x:v>
      </x:c>
      <x:c r="G76" s="15" t="n">
        <x:v>-2.16</x:v>
      </x:c>
      <x:c r="H76" s="15" t="n">
        <x:v>84.25</x:v>
      </x:c>
      <x:c r="I76" s="10" t="str">
        <x:v>88分以下</x:v>
      </x:c>
      <x:c r="J76" s="14" t="b">
        <x:v>0</x:v>
      </x:c>
    </x:row>
    <x:row r="77">
      <x:c r="A77" s="10" t="str">
        <x:v>CG2026083</x:v>
      </x:c>
      <x:c r="B77" s="10" t="str">
        <x:v>提升重庆旅游文化品质和消费能级研究</x:v>
      </x:c>
      <x:c r="C77" s="10" t="str">
        <x:v>三等奖</x:v>
      </x:c>
      <x:c r="D77" s="10" t="n">
        <x:v>7</x:v>
      </x:c>
      <x:c r="E77" s="15" t="n">
        <x:v>84.9</x:v>
      </x:c>
      <x:c r="F77" s="15" t="n">
        <x:v>82.63</x:v>
      </x:c>
      <x:c r="G77" s="15" t="n">
        <x:v>-2.27</x:v>
      </x:c>
      <x:c r="H77" s="15" t="n">
        <x:v>84.22</x:v>
      </x:c>
      <x:c r="I77" s="10" t="str">
        <x:v>88分以下</x:v>
      </x:c>
      <x:c r="J77" s="14" t="b">
        <x:v>0</x:v>
      </x:c>
    </x:row>
    <x:row r="78">
      <x:c r="A78" s="10" t="str">
        <x:v>CG2026081</x:v>
      </x:c>
      <x:c r="B78" s="10" t="str">
        <x:v>提升重庆旅游文化品质和消费能级研究</x:v>
      </x:c>
      <x:c r="C78" s="10" t="str">
        <x:v>三等奖</x:v>
      </x:c>
      <x:c r="D78" s="10" t="n">
        <x:v>8</x:v>
      </x:c>
      <x:c r="E78" s="15" t="n">
        <x:v>84.9</x:v>
      </x:c>
      <x:c r="F78" s="15" t="n">
        <x:v>82.6</x:v>
      </x:c>
      <x:c r="G78" s="15" t="n">
        <x:v>-2.3</x:v>
      </x:c>
      <x:c r="H78" s="15" t="n">
        <x:v>84.21</x:v>
      </x:c>
      <x:c r="I78" s="10" t="str">
        <x:v>88分以下</x:v>
      </x:c>
      <x:c r="J78" s="14" t="b">
        <x:v>0</x:v>
      </x:c>
    </x:row>
    <x:row r="79">
      <x:c r="A79" s="10" t="str">
        <x:v>CG2026080</x:v>
      </x:c>
      <x:c r="B79" s="10" t="str">
        <x:v>重庆智慧养老体系建设研究</x:v>
      </x:c>
      <x:c r="C79" s="10" t="str">
        <x:v>三等奖</x:v>
      </x:c>
      <x:c r="D79" s="10" t="n">
        <x:v>9</x:v>
      </x:c>
      <x:c r="E79" s="15" t="n">
        <x:v>84.9</x:v>
      </x:c>
      <x:c r="F79" s="15" t="n">
        <x:v>82.4</x:v>
      </x:c>
      <x:c r="G79" s="15" t="n">
        <x:v>-2.5</x:v>
      </x:c>
      <x:c r="H79" s="15" t="n">
        <x:v>84.15</x:v>
      </x:c>
      <x:c r="I79" s="10" t="str">
        <x:v>88分以下</x:v>
      </x:c>
      <x:c r="J79" s="14" t="b">
        <x:v>0</x:v>
      </x:c>
    </x:row>
    <x:row r="80">
      <x:c r="A80" s="10" t="str">
        <x:v>CG2026064</x:v>
      </x:c>
      <x:c r="B80" s="10" t="str">
        <x:v>重庆科技创新面临的体制机制问题研究</x:v>
      </x:c>
      <x:c r="C80" s="10" t="str">
        <x:v>三等奖</x:v>
      </x:c>
      <x:c r="D80" s="10" t="n">
        <x:v>10</x:v>
      </x:c>
      <x:c r="E80" s="15" t="n">
        <x:v>84.9</x:v>
      </x:c>
      <x:c r="F80" s="15" t="n">
        <x:v>82.36</x:v>
      </x:c>
      <x:c r="G80" s="15" t="n">
        <x:v>-2.54</x:v>
      </x:c>
      <x:c r="H80" s="15" t="n">
        <x:v>84.14</x:v>
      </x:c>
      <x:c r="I80" s="10" t="str">
        <x:v>88分以下</x:v>
      </x:c>
      <x:c r="J80" s="14" t="b">
        <x:v>0</x:v>
      </x:c>
    </x:row>
    <x:row r="81">
      <x:c r="A81" s="10" t="str">
        <x:v>CG2026084</x:v>
      </x:c>
      <x:c r="B81" s="10" t="str">
        <x:v>如何发挥人民政协在全过程人民民主中的重要作用研究</x:v>
      </x:c>
      <x:c r="C81" s="10" t="str">
        <x:v>三等奖</x:v>
      </x:c>
      <x:c r="D81" s="10" t="n">
        <x:v>11</x:v>
      </x:c>
      <x:c r="E81" s="15" t="n">
        <x:v>84.9</x:v>
      </x:c>
      <x:c r="F81" s="15" t="n">
        <x:v>82.3</x:v>
      </x:c>
      <x:c r="G81" s="15" t="n">
        <x:v>-2.6</x:v>
      </x:c>
      <x:c r="H81" s="15" t="n">
        <x:v>84.12</x:v>
      </x:c>
      <x:c r="I81" s="10" t="str">
        <x:v>88分以下</x:v>
      </x:c>
      <x:c r="J81" s="14" t="b">
        <x:v>0</x:v>
      </x:c>
    </x:row>
    <x:row r="82">
      <x:c r="A82" s="10" t="str">
        <x:v>CG2026011</x:v>
      </x:c>
      <x:c r="B82" s="10" t="str">
        <x:v>创新推动重庆文化产业发展研究</x:v>
      </x:c>
      <x:c r="C82" s="10" t="str">
        <x:v>三等奖</x:v>
      </x:c>
      <x:c r="D82" s="10" t="n">
        <x:v>12</x:v>
      </x:c>
      <x:c r="E82" s="15" t="n">
        <x:v>83.86</x:v>
      </x:c>
      <x:c r="F82" s="15" t="n">
        <x:v>82.61</x:v>
      </x:c>
      <x:c r="G82" s="15" t="n">
        <x:v>-1.25</x:v>
      </x:c>
      <x:c r="H82" s="15" t="n">
        <x:v>83.48</x:v>
      </x:c>
      <x:c r="I82" s="10" t="str">
        <x:v>88分以下</x:v>
      </x:c>
      <x:c r="J82" s="14" t="b">
        <x:v>0</x:v>
      </x:c>
    </x:row>
    <x:row r="83">
      <x:c r="A83" s="10" t="str">
        <x:v>CG2026016</x:v>
      </x:c>
      <x:c r="B83" s="10" t="str">
        <x:v>成渝地区双城经济圈智慧文旅协同创新研究</x:v>
      </x:c>
      <x:c r="C83" s="10" t="str">
        <x:v>三等奖</x:v>
      </x:c>
      <x:c r="D83" s="10" t="n">
        <x:v>13</x:v>
      </x:c>
      <x:c r="E83" s="15" t="n">
        <x:v>83.36</x:v>
      </x:c>
      <x:c r="F83" s="15" t="n">
        <x:v>82.5</x:v>
      </x:c>
      <x:c r="G83" s="15" t="n">
        <x:v>-0.86</x:v>
      </x:c>
      <x:c r="H83" s="15" t="n">
        <x:v>83.1</x:v>
      </x:c>
      <x:c r="I83" s="10" t="str">
        <x:v>88分以下</x:v>
      </x:c>
      <x:c r="J83" s="14" t="b">
        <x:v>0</x:v>
      </x:c>
    </x:row>
    <x:row r="84">
      <x:c r="A84" s="10" t="str">
        <x:v>CG2026085</x:v>
      </x:c>
      <x:c r="B84" s="10" t="str">
        <x:v>重庆科技创新面临的体制机制问题研究</x:v>
      </x:c>
      <x:c r="C84" s="10" t="str">
        <x:v>三等奖</x:v>
      </x:c>
      <x:c r="D84" s="10" t="n">
        <x:v>14</x:v>
      </x:c>
      <x:c r="E84" s="15" t="n">
        <x:v>83.22</x:v>
      </x:c>
      <x:c r="F84" s="15" t="n">
        <x:v>82.55</x:v>
      </x:c>
      <x:c r="G84" s="15" t="n">
        <x:v>-0.67</x:v>
      </x:c>
      <x:c r="H84" s="15" t="n">
        <x:v>83.02</x:v>
      </x:c>
      <x:c r="I84" s="10" t="str">
        <x:v>88分以下</x:v>
      </x:c>
      <x:c r="J84" s="14" t="b">
        <x:v>0</x:v>
      </x:c>
    </x:row>
    <x:row r="85">
      <x:c r="A85" s="10" t="str">
        <x:v>CG2026001</x:v>
      </x:c>
      <x:c r="B85" s="10" t="str">
        <x:v>数字经济赋能传统产业转型升级研究</x:v>
      </x:c>
      <x:c r="C85" s="10" t="str">
        <x:v>三等奖</x:v>
      </x:c>
      <x:c r="D85" s="10" t="n">
        <x:v>15</x:v>
      </x:c>
      <x:c r="E85" s="15" t="n">
        <x:v>82.88</x:v>
      </x:c>
      <x:c r="F85" s="15" t="n">
        <x:v>82.35</x:v>
      </x:c>
      <x:c r="G85" s="15" t="n">
        <x:v>-0.53</x:v>
      </x:c>
      <x:c r="H85" s="15" t="n">
        <x:v>82.73</x:v>
      </x:c>
      <x:c r="I85" s="10" t="str">
        <x:v>88分以下</x:v>
      </x:c>
      <x:c r="J85" s="14" t="b">
        <x:v>0</x:v>
      </x:c>
    </x:row>
    <x:row r="86">
      <x:c r="A86" s="10" t="str">
        <x:v>CG2026059</x:v>
      </x:c>
      <x:c r="B86" s="10" t="str">
        <x:v>重庆民营市场主体面临的困难及高质量发展研究</x:v>
      </x:c>
      <x:c r="C86" s="10" t="str">
        <x:v>三等奖</x:v>
      </x:c>
      <x:c r="D86" s="10" t="n">
        <x:v>16</x:v>
      </x:c>
      <x:c r="E86" s="15" t="n">
        <x:v>82.82</x:v>
      </x:c>
      <x:c r="F86" s="15" t="n">
        <x:v>82.42</x:v>
      </x:c>
      <x:c r="G86" s="15" t="n">
        <x:v>-0.4</x:v>
      </x:c>
      <x:c r="H86" s="15" t="n">
        <x:v>82.7</x:v>
      </x:c>
      <x:c r="I86" s="10" t="str">
        <x:v>88分以下</x:v>
      </x:c>
      <x:c r="J86" s="14" t="b">
        <x:v>0</x:v>
      </x:c>
    </x:row>
    <x:row r="87">
      <x:c r="A87" s="10" t="str">
        <x:v>CG2026040</x:v>
      </x:c>
      <x:c r="B87" s="10" t="str">
        <x:v>促进重庆各类开发开放平台能级显著提升的对策措施研究</x:v>
      </x:c>
      <x:c r="C87" s="10" t="str">
        <x:v>三等奖</x:v>
      </x:c>
      <x:c r="D87" s="10" t="n">
        <x:v>18</x:v>
      </x:c>
      <x:c r="E87" s="15" t="n">
        <x:v>82.72</x:v>
      </x:c>
      <x:c r="F87" s="15" t="n">
        <x:v>82.44</x:v>
      </x:c>
      <x:c r="G87" s="15" t="n">
        <x:v>-0.28</x:v>
      </x:c>
      <x:c r="H87" s="15" t="n">
        <x:v>82.63</x:v>
      </x:c>
      <x:c r="I87" s="10" t="str">
        <x:v>88分以下</x:v>
      </x:c>
      <x:c r="J87" s="14" t="b">
        <x:v>0</x:v>
      </x:c>
    </x:row>
    <x:row r="88">
      <x:c r="A88" s="10" t="str">
        <x:v>CG2026036</x:v>
      </x:c>
      <x:c r="B88" s="10" t="str">
        <x:v>重庆科技创新面临的体制机制问题研究</x:v>
      </x:c>
      <x:c r="C88" s="10" t="str">
        <x:v>三等奖</x:v>
      </x:c>
      <x:c r="D88" s="10" t="n">
        <x:v>19</x:v>
      </x:c>
      <x:c r="E88" s="15" t="n">
        <x:v>82.74</x:v>
      </x:c>
      <x:c r="F88" s="15" t="n">
        <x:v>82.35</x:v>
      </x:c>
      <x:c r="G88" s="15" t="n">
        <x:v>-0.39</x:v>
      </x:c>
      <x:c r="H88" s="15" t="n">
        <x:v>82.63</x:v>
      </x:c>
      <x:c r="I88" s="10" t="str">
        <x:v>88分以下</x:v>
      </x:c>
      <x:c r="J88" s="14" t="b">
        <x:v>0</x:v>
      </x:c>
    </x:row>
    <x:row r="89">
      <x:c r="A89" s="10" t="str">
        <x:v>CG2026105</x:v>
      </x:c>
      <x:c r="B89" s="10" t="str">
        <x:v>重庆前瞻布局未来产业方向研究</x:v>
      </x:c>
      <x:c r="C89" s="10" t="str">
        <x:v>三等奖</x:v>
      </x:c>
      <x:c r="D89" s="10" t="n">
        <x:v>17</x:v>
      </x:c>
      <x:c r="E89" s="15" t="n">
        <x:v>82.84</x:v>
      </x:c>
      <x:c r="F89" s="15" t="n">
        <x:v>82.14</x:v>
      </x:c>
      <x:c r="G89" s="15" t="n">
        <x:v>-0.7</x:v>
      </x:c>
      <x:c r="H89" s="15" t="n">
        <x:v>82.63</x:v>
      </x:c>
      <x:c r="I89" s="10" t="str">
        <x:v>88分以下</x:v>
      </x:c>
      <x:c r="J89" s="14" t="b">
        <x:v>0</x:v>
      </x:c>
    </x:row>
    <x:row r="90">
      <x:c r="A90" s="10" t="str">
        <x:v>CG2026099</x:v>
      </x:c>
      <x:c r="B90" s="10" t="str">
        <x:v>重庆城乡融合发展的突破点研究</x:v>
      </x:c>
      <x:c r="C90" s="10" t="str">
        <x:v>三等奖</x:v>
      </x:c>
      <x:c r="D90" s="10" t="n">
        <x:v>20</x:v>
      </x:c>
      <x:c r="E90" s="15" t="n">
        <x:v>82.56</x:v>
      </x:c>
      <x:c r="F90" s="15" t="n">
        <x:v>82.76</x:v>
      </x:c>
      <x:c r="G90" s="15" t="n">
        <x:v>0.2</x:v>
      </x:c>
      <x:c r="H90" s="15" t="n">
        <x:v>82.62</x:v>
      </x:c>
      <x:c r="I90" s="10" t="str">
        <x:v>88分以下</x:v>
      </x:c>
      <x:c r="J90" s="14" t="b">
        <x:v>0</x:v>
      </x:c>
    </x:row>
    <x:row r="91">
      <x:c r="A91" s="10" t="str">
        <x:v>CG2026012</x:v>
      </x:c>
      <x:c r="B91" s="10" t="str">
        <x:v>提升重庆中心城区发展能级和综合竞争力研究</x:v>
      </x:c>
      <x:c r="C91" s="10" t="str">
        <x:v>三等奖</x:v>
      </x:c>
      <x:c r="D91" s="10" t="n">
        <x:v>21</x:v>
      </x:c>
      <x:c r="E91" s="15" t="n">
        <x:v>82.72</x:v>
      </x:c>
      <x:c r="F91" s="15" t="n">
        <x:v>82.41</x:v>
      </x:c>
      <x:c r="G91" s="15" t="n">
        <x:v>-0.31</x:v>
      </x:c>
      <x:c r="H91" s="15" t="n">
        <x:v>82.62</x:v>
      </x:c>
      <x:c r="I91" s="10" t="str">
        <x:v>88分以下</x:v>
      </x:c>
      <x:c r="J91" s="14" t="b">
        <x:v>0</x:v>
      </x:c>
    </x:row>
    <x:row r="92">
      <x:c r="A92" s="10" t="str">
        <x:v>CG2026017</x:v>
      </x:c>
      <x:c r="B92" s="10" t="str">
        <x:v>重庆城乡融合发展的突破点研究</x:v>
      </x:c>
      <x:c r="C92" s="10" t="str">
        <x:v>三等奖</x:v>
      </x:c>
      <x:c r="D92" s="10" t="n">
        <x:v>22</x:v>
      </x:c>
      <x:c r="E92" s="15" t="n">
        <x:v>82.58</x:v>
      </x:c>
      <x:c r="F92" s="15" t="n">
        <x:v>82.66</x:v>
      </x:c>
      <x:c r="G92" s="15" t="n">
        <x:v>0.08</x:v>
      </x:c>
      <x:c r="H92" s="15" t="n">
        <x:v>82.61</x:v>
      </x:c>
      <x:c r="I92" s="10" t="str">
        <x:v>88分以下</x:v>
      </x:c>
      <x:c r="J92" s="14" t="b">
        <x:v>0</x:v>
      </x:c>
    </x:row>
    <x:row r="93">
      <x:c r="A93" s="10" t="str">
        <x:v>CG2026020</x:v>
      </x:c>
      <x:c r="B93" s="10" t="str">
        <x:v>促进重庆各类开发开放平台能级显著提升的对策措施研究</x:v>
      </x:c>
      <x:c r="C93" s="10" t="str">
        <x:v>三等奖</x:v>
      </x:c>
      <x:c r="D93" s="10" t="n">
        <x:v>23</x:v>
      </x:c>
      <x:c r="E93" s="15" t="n">
        <x:v>82.46</x:v>
      </x:c>
      <x:c r="F93" s="15" t="n">
        <x:v>82.8</x:v>
      </x:c>
      <x:c r="G93" s="15" t="n">
        <x:v>0.34</x:v>
      </x:c>
      <x:c r="H93" s="15" t="n">
        <x:v>82.56</x:v>
      </x:c>
      <x:c r="I93" s="10" t="str">
        <x:v>88分以下</x:v>
      </x:c>
      <x:c r="J93" s="14" t="b">
        <x:v>0</x:v>
      </x:c>
    </x:row>
    <x:row r="94">
      <x:c r="A94" s="10" t="str">
        <x:v>CG2026062</x:v>
      </x:c>
      <x:c r="B94" s="10" t="str">
        <x:v>发挥通道物流和运营组织中心作用加快西部陆海新通道建设研究</x:v>
      </x:c>
      <x:c r="C94" s="10" t="str">
        <x:v>三等奖</x:v>
      </x:c>
      <x:c r="D94" s="10" t="n">
        <x:v>24</x:v>
      </x:c>
      <x:c r="E94" s="15" t="n">
        <x:v>82.56</x:v>
      </x:c>
      <x:c r="F94" s="15" t="n">
        <x:v>82.51</x:v>
      </x:c>
      <x:c r="G94" s="15" t="n">
        <x:v>-0.05</x:v>
      </x:c>
      <x:c r="H94" s="15" t="n">
        <x:v>82.54</x:v>
      </x:c>
      <x:c r="I94" s="10" t="str">
        <x:v>88分以下</x:v>
      </x:c>
      <x:c r="J94" s="14" t="b">
        <x:v>0</x:v>
      </x:c>
    </x:row>
    <x:row r="95">
      <x:c r="A95" s="10" t="str">
        <x:v>CG2026060</x:v>
      </x:c>
      <x:c r="B95" s="10" t="str">
        <x:v>重庆智慧养老体系建设研究</x:v>
      </x:c>
      <x:c r="C95" s="10" t="str">
        <x:v>三等奖</x:v>
      </x:c>
      <x:c r="D95" s="10" t="n">
        <x:v>25</x:v>
      </x:c>
      <x:c r="E95" s="15" t="n">
        <x:v>82.66</x:v>
      </x:c>
      <x:c r="F95" s="15" t="n">
        <x:v>82.19</x:v>
      </x:c>
      <x:c r="G95" s="15" t="n">
        <x:v>-0.47</x:v>
      </x:c>
      <x:c r="H95" s="15" t="n">
        <x:v>82.52</x:v>
      </x:c>
      <x:c r="I95" s="10" t="str">
        <x:v>88分以下</x:v>
      </x:c>
      <x:c r="J95" s="14" t="b">
        <x:v>1</x:v>
      </x:c>
    </x:row>
    <x:row r="96">
      <x:c r="A96" s="10" t="str">
        <x:v>CG2026102</x:v>
      </x:c>
      <x:c r="B96" s="10" t="str">
        <x:v>重庆创新政府投资重大项目投融资模式研究</x:v>
      </x:c>
      <x:c r="C96" s="10" t="str">
        <x:v>三等奖</x:v>
      </x:c>
      <x:c r="D96" s="10" t="n">
        <x:v>26</x:v>
      </x:c>
      <x:c r="E96" s="15" t="n">
        <x:v>82.36</x:v>
      </x:c>
      <x:c r="F96" s="15" t="n">
        <x:v>82.77</x:v>
      </x:c>
      <x:c r="G96" s="15" t="n">
        <x:v>0.41</x:v>
      </x:c>
      <x:c r="H96" s="15" t="n">
        <x:v>82.48</x:v>
      </x:c>
      <x:c r="I96" s="10" t="str">
        <x:v>88分以下</x:v>
      </x:c>
      <x:c r="J96" s="14" t="b">
        <x:v>1</x:v>
      </x:c>
    </x:row>
    <x:row r="97">
      <x:c r="A97" s="10" t="str">
        <x:v>CG2026041</x:v>
      </x:c>
      <x:c r="B97" s="10" t="str">
        <x:v>探索重庆媒体融合发展新路径研究</x:v>
      </x:c>
      <x:c r="C97" s="10" t="str">
        <x:v>三等奖</x:v>
      </x:c>
      <x:c r="D97" s="10" t="n">
        <x:v>28</x:v>
      </x:c>
      <x:c r="E97" s="15" t="n">
        <x:v>82.38</x:v>
      </x:c>
      <x:c r="F97" s="15" t="n">
        <x:v>82.7</x:v>
      </x:c>
      <x:c r="G97" s="15" t="n">
        <x:v>0.32</x:v>
      </x:c>
      <x:c r="H97" s="15" t="n">
        <x:v>82.48</x:v>
      </x:c>
      <x:c r="I97" s="10" t="str">
        <x:v>88分以下</x:v>
      </x:c>
      <x:c r="J97" s="14" t="b">
        <x:v>1</x:v>
      </x:c>
    </x:row>
    <x:row r="98">
      <x:c r="A98" s="10" t="str">
        <x:v>CG2026043</x:v>
      </x:c>
      <x:c r="B98" s="10" t="str">
        <x:v>重庆中心城区发展软件和信息服务业路径研究</x:v>
      </x:c>
      <x:c r="C98" s="10" t="str">
        <x:v>三等奖</x:v>
      </x:c>
      <x:c r="D98" s="10" t="n">
        <x:v>27</x:v>
      </x:c>
      <x:c r="E98" s="15" t="n">
        <x:v>82.54</x:v>
      </x:c>
      <x:c r="F98" s="15" t="n">
        <x:v>82.32</x:v>
      </x:c>
      <x:c r="G98" s="15" t="n">
        <x:v>-0.22</x:v>
      </x:c>
      <x:c r="H98" s="15" t="n">
        <x:v>82.48</x:v>
      </x:c>
      <x:c r="I98" s="10" t="str">
        <x:v>88分以下</x:v>
      </x:c>
      <x:c r="J98" s="14" t="b">
        <x:v>1</x:v>
      </x:c>
    </x:row>
    <x:row r="99">
      <x:c r="A99" s="10" t="str">
        <x:v>CG2026101</x:v>
      </x:c>
      <x:c r="B99" s="10" t="str">
        <x:v>重庆科技创新面临的体制机制问题研究</x:v>
      </x:c>
      <x:c r="C99" s="10" t="str">
        <x:v>三等奖</x:v>
      </x:c>
      <x:c r="D99" s="10" t="n">
        <x:v>29</x:v>
      </x:c>
      <x:c r="E99" s="15" t="n">
        <x:v>82.26</x:v>
      </x:c>
      <x:c r="F99" s="15" t="n">
        <x:v>82.89</x:v>
      </x:c>
      <x:c r="G99" s="15" t="n">
        <x:v>0.63</x:v>
      </x:c>
      <x:c r="H99" s="15" t="n">
        <x:v>82.45</x:v>
      </x:c>
      <x:c r="I99" s="10" t="str">
        <x:v>88分以下</x:v>
      </x:c>
      <x:c r="J99" s="14" t="b">
        <x:v>1</x:v>
      </x:c>
    </x:row>
    <x:row r="100">
      <x:c r="A100" s="10" t="str">
        <x:v>CG2026100</x:v>
      </x:c>
      <x:c r="B100" s="10" t="str">
        <x:v>重庆智能网联新能源汽车产业链供应链韧性和安全水平提升研究</x:v>
      </x:c>
      <x:c r="C100" s="10" t="str">
        <x:v>三等奖</x:v>
      </x:c>
      <x:c r="D100" s="10" t="n">
        <x:v>30</x:v>
      </x:c>
      <x:c r="E100" s="15" t="n">
        <x:v>82.1</x:v>
      </x:c>
      <x:c r="F100" s="15" t="n">
        <x:v>82.87</x:v>
      </x:c>
      <x:c r="G100" s="15" t="n">
        <x:v>0.77</x:v>
      </x:c>
      <x:c r="H100" s="15" t="n">
        <x:v>82.33</x:v>
      </x:c>
      <x:c r="I100" s="10" t="str">
        <x:v>88分以下</x:v>
      </x:c>
      <x:c r="J100" s="14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4" max="4" width="19" hidden="0" customWidth="1"/>
    <x:col min="7" max="7" width="19" hidden="0" customWidth="1"/>
    <x:col min="2" max="2" width="14" hidden="0" customWidth="1"/>
    <x:col min="3" max="3" width="12" hidden="0" customWidth="1"/>
    <x:col min="5" max="5" width="14" hidden="0" customWidth="1"/>
    <x:col min="8" max="8" width="11" hidden="0" customWidth="1"/>
    <x:col min="9" max="9" width="18" hidden="0" customWidth="1"/>
    <x:col min="10" max="10" width="13" hidden="0" customWidth="1"/>
    <x:col min="6" max="6" width="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0" customHeight="1">
      <x:c r="A1" s="48" t="str">
        <x:v>重庆社科科学院发展研究奖评审结果动态看板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50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</x:row>
    <x:row r="3">
      <x:c r="A3" s="30" t="str">
        <x:v>奖项筛选</x:v>
      </x:c>
      <x:c r="B3" s="31" t="str">
        <x:v>全部</x:v>
      </x:c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</x:row>
    <x:row r="4">
      <x:c r="A4" s="29"/>
      <x:c r="B4" s="29"/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</x:row>
    <x:row r="5">
      <x:c r="A5" s="42" t="str">
        <x:v>获奖成果数</x:v>
      </x:c>
      <x:c r="B5" s="43" t="str">
        <x:v>平均最终分</x:v>
      </x:c>
      <x:c r="C5" s="43" t="str">
        <x:v>最高分</x:v>
      </x:c>
      <x:c r="D5" s="43" t="str">
        <x:v>最低分</x:v>
      </x:c>
      <x:c r="E5" s="44" t="str">
        <x:v>大会-小组均差</x:v>
      </x:c>
      <x:c r="F5" s="29"/>
      <x:c r="G5" s="29"/>
      <x:c r="H5" s="29"/>
      <x:c r="I5" s="29"/>
      <x:c r="J5" s="29"/>
      <x:c r="K5" s="29"/>
      <x:c r="L5" s="29"/>
      <x:c r="M5" s="29"/>
      <x:c r="N5" s="29"/>
    </x:row>
    <x:row r="6">
      <x:c r="A6" s="45" t="n">
        <x:f>IF($B$3="全部",COUNTA('原始数据'!$A$2:$A$100),COUNTIF('原始数据'!$C$2:$C$100,$B$3))</x:f>
        <x:v>99</x:v>
      </x:c>
      <x:c r="B6" s="46" t="n">
        <x:f>IF($B$3="全部",AVERAGE('原始数据'!$H$2:$H$100),AVERAGEIF('原始数据'!$C$2:$C$100,$B$3,'原始数据'!$H$2:$H$100))</x:f>
        <x:v>88.0759595959596</x:v>
      </x:c>
      <x:c r="C6" s="46" t="n">
        <x:f>IF($B$3="全部",MAX('原始数据'!$H$2:$H$100),MAXIFS('原始数据'!$H$2:$H$100,'原始数据'!$C$2:$C$100,$B$3))</x:f>
        <x:v>94.19</x:v>
      </x:c>
      <x:c r="D6" s="46" t="n">
        <x:f>IF($B$3="全部",MIN('原始数据'!$H$2:$H$100),MINIFS('原始数据'!$H$2:$H$100,'原始数据'!$C$2:$C$100,$B$3))</x:f>
        <x:v>82.33</x:v>
      </x:c>
      <x:c r="E6" s="47" t="n">
        <x:f>IF($B$3="全部",AVERAGE('原始数据'!$G$2:$G$100),AVERAGEIF('原始数据'!$C$2:$C$100,$B$3,'原始数据'!$G$2:$G$100))</x:f>
        <x:v>-0.4814141414141413</x:v>
      </x:c>
      <x:c r="F6" s="29"/>
      <x:c r="G6" s="29"/>
      <x:c r="H6" s="29"/>
      <x:c r="I6" s="29"/>
      <x:c r="J6" s="29"/>
      <x:c r="K6" s="29"/>
      <x:c r="L6" s="29"/>
      <x:c r="M6" s="29"/>
      <x:c r="N6" s="29"/>
    </x:row>
    <x:row r="7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</x:row>
    <x:row r="8">
      <x:c r="A8" s="30" t="str">
        <x:v>分数区间</x:v>
      </x:c>
      <x:c r="B8" s="32" t="str">
        <x:v>数量</x:v>
      </x:c>
      <x:c r="C8" s="29"/>
      <x:c r="D8" s="30" t="str">
        <x:v>评分项</x:v>
      </x:c>
      <x:c r="E8" s="32" t="str">
        <x:v>均值</x:v>
      </x:c>
      <x:c r="F8" s="29"/>
      <x:c r="G8" s="29"/>
      <x:c r="H8" s="29"/>
      <x:c r="I8" s="29"/>
      <x:c r="J8" s="29"/>
      <x:c r="K8" s="29"/>
      <x:c r="L8" s="29"/>
      <x:c r="M8" s="29"/>
      <x:c r="N8" s="29"/>
    </x:row>
    <x:row r="9">
      <x:c r="A9" s="38" t="str">
        <x:v>94分及以上</x:v>
      </x:c>
      <x:c r="B9" s="39" t="n">
        <x:f>IF($B$3="全部",COUNTIF('原始数据'!$I$2:$I$100,A9),COUNTIFS('原始数据'!$I$2:$I$100,A9,'原始数据'!$C$2:$C$100,$B$3))</x:f>
        <x:v>5</x:v>
      </x:c>
      <x:c r="C9" s="29"/>
      <x:c r="D9" s="38" t="str">
        <x:v>小组评分</x:v>
      </x:c>
      <x:c r="E9" s="40" t="n">
        <x:f>IF($B$3="全部",AVERAGE('原始数据'!$E$2:$E$100),AVERAGEIF('原始数据'!$C$2:$C$100,$B$3,'原始数据'!$E$2:$E$100))</x:f>
        <x:v>88.22020202020204</x:v>
      </x:c>
      <x:c r="F9" s="29"/>
      <x:c r="G9" s="29"/>
      <x:c r="H9" s="29"/>
      <x:c r="I9" s="29"/>
      <x:c r="J9" s="29"/>
      <x:c r="K9" s="29"/>
      <x:c r="L9" s="29"/>
      <x:c r="M9" s="29"/>
      <x:c r="N9" s="29"/>
    </x:row>
    <x:row r="10">
      <x:c r="A10" s="38" t="str">
        <x:v>92-94分</x:v>
      </x:c>
      <x:c r="B10" s="39" t="n">
        <x:f>IF($B$3="全部",COUNTIF('原始数据'!$I$2:$I$100,A10),COUNTIFS('原始数据'!$I$2:$I$100,A10,'原始数据'!$C$2:$C$100,$B$3))</x:f>
        <x:v>21</x:v>
      </x:c>
      <x:c r="C10" s="29"/>
      <x:c r="D10" s="38" t="str">
        <x:v>大会评分</x:v>
      </x:c>
      <x:c r="E10" s="40" t="n">
        <x:f>IF($B$3="全部",AVERAGE('原始数据'!$F$2:$F$100),AVERAGEIF('原始数据'!$C$2:$C$100,$B$3,'原始数据'!$F$2:$F$100))</x:f>
        <x:v>87.7387878787879</x:v>
      </x:c>
      <x:c r="F10" s="29"/>
      <x:c r="G10" s="29"/>
      <x:c r="H10" s="29"/>
      <x:c r="I10" s="29"/>
      <x:c r="J10" s="29"/>
      <x:c r="K10" s="29"/>
      <x:c r="L10" s="29"/>
      <x:c r="M10" s="29"/>
      <x:c r="N10" s="29"/>
    </x:row>
    <x:row r="11">
      <x:c r="A11" s="38" t="str">
        <x:v>90-92分</x:v>
      </x:c>
      <x:c r="B11" s="39" t="n">
        <x:f>IF($B$3="全部",COUNTIF('原始数据'!$I$2:$I$100,A11),COUNTIFS('原始数据'!$I$2:$I$100,A11,'原始数据'!$C$2:$C$100,$B$3))</x:f>
        <x:v>3</x:v>
      </x:c>
      <x:c r="C11" s="29"/>
      <x:c r="D11" s="38" t="str">
        <x:v>综合最终得分</x:v>
      </x:c>
      <x:c r="E11" s="40" t="n">
        <x:f>IF($B$3="全部",AVERAGE('原始数据'!$H$2:$H$100),AVERAGEIF('原始数据'!$C$2:$C$100,$B$3,'原始数据'!$H$2:$H$100))</x:f>
        <x:v>88.0759595959596</x:v>
      </x:c>
      <x:c r="F11" s="29"/>
      <x:c r="G11" s="29"/>
      <x:c r="H11" s="29"/>
      <x:c r="I11" s="29"/>
      <x:c r="J11" s="29"/>
      <x:c r="K11" s="29"/>
      <x:c r="L11" s="29"/>
      <x:c r="M11" s="29"/>
      <x:c r="N11" s="29"/>
    </x:row>
    <x:row r="12">
      <x:c r="A12" s="38" t="str">
        <x:v>88-90分</x:v>
      </x:c>
      <x:c r="B12" s="39" t="n">
        <x:f>IF($B$3="全部",COUNTIF('原始数据'!$I$2:$I$100,A12),COUNTIFS('原始数据'!$I$2:$I$100,A12,'原始数据'!$C$2:$C$100,$B$3))</x:f>
        <x:v>12</x:v>
      </x:c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</x:row>
    <x:row r="13">
      <x:c r="A13" s="38" t="str">
        <x:v>88分以下</x:v>
      </x:c>
      <x:c r="B13" s="39" t="n">
        <x:f>IF($B$3="全部",COUNTIF('原始数据'!$I$2:$I$100,A13),COUNTIFS('原始数据'!$I$2:$I$100,A13,'原始数据'!$C$2:$C$100,$B$3))</x:f>
        <x:v>58</x:v>
      </x:c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</x:row>
    <x:row r="15">
      <x:c r="A15" s="30" t="str">
        <x:v>大会-小组差异</x:v>
      </x:c>
      <x:c r="B15" s="32" t="str">
        <x:v>数量</x:v>
      </x:c>
      <x:c r="C15" s="29"/>
      <x:c r="D15" s="30" t="str">
        <x:v>奖项</x:v>
      </x:c>
      <x:c r="E15" s="32" t="str">
        <x:v>数量</x:v>
      </x:c>
      <x:c r="F15" s="29"/>
      <x:c r="G15" s="29"/>
      <x:c r="H15" s="29"/>
      <x:c r="I15" s="29"/>
      <x:c r="J15" s="29"/>
      <x:c r="K15" s="29"/>
      <x:c r="L15" s="29"/>
      <x:c r="M15" s="29"/>
      <x:c r="N15" s="29"/>
    </x:row>
    <x:row r="16">
      <x:c r="A16" s="38" t="str">
        <x:v>大会低1分以上</x:v>
      </x:c>
      <x:c r="B16" s="39" t="n">
        <x:f>IF($B$3="全部",COUNTIF('原始数据'!$G$2:$G$100,"&lt;-1"),COUNTIFS('原始数据'!$G$2:$G$100,"&lt;-1",'原始数据'!$C$2:$C$100,$B$3))</x:f>
        <x:v>23</x:v>
      </x:c>
      <x:c r="C16" s="29"/>
      <x:c r="D16" s="38" t="str">
        <x:v>一等奖</x:v>
      </x:c>
      <x:c r="E16" s="39" t="n">
        <x:f>COUNTIF('原始数据'!$C$2:$C$100,D16)</x:f>
        <x:v>24</x:v>
      </x:c>
      <x:c r="F16" s="29"/>
      <x:c r="G16" s="29"/>
      <x:c r="H16" s="29"/>
      <x:c r="I16" s="29"/>
      <x:c r="J16" s="29"/>
      <x:c r="K16" s="29"/>
      <x:c r="L16" s="29"/>
      <x:c r="M16" s="29"/>
      <x:c r="N16" s="29"/>
    </x:row>
    <x:row r="17">
      <x:c r="A17" s="38" t="str">
        <x:v>大会低0-1分</x:v>
      </x:c>
      <x:c r="B17" s="39" t="n">
        <x:f>IF($B$3="全部",COUNTIFS('原始数据'!$G$2:$G$100,"&gt;=-1",'原始数据'!$G$2:$G$100,"&lt;0"),COUNTIFS('原始数据'!$G$2:$G$100,"&gt;=-1",'原始数据'!$G$2:$G$100,"&lt;0",'原始数据'!$C$2:$C$100,$B$3))</x:f>
        <x:v>33</x:v>
      </x:c>
      <x:c r="C17" s="29"/>
      <x:c r="D17" s="38" t="str">
        <x:v>二等奖</x:v>
      </x:c>
      <x:c r="E17" s="39" t="n">
        <x:f>COUNTIF('原始数据'!$C$2:$C$100,D17)</x:f>
        <x:v>45</x:v>
      </x:c>
      <x:c r="F17" s="29"/>
      <x:c r="G17" s="29"/>
      <x:c r="H17" s="29"/>
      <x:c r="I17" s="29"/>
      <x:c r="J17" s="29"/>
      <x:c r="K17" s="29"/>
      <x:c r="L17" s="29"/>
      <x:c r="M17" s="29"/>
      <x:c r="N17" s="29"/>
    </x:row>
    <x:row r="18">
      <x:c r="A18" s="38" t="str">
        <x:v>大会高0-1分</x:v>
      </x:c>
      <x:c r="B18" s="39" t="n">
        <x:f>IF($B$3="全部",COUNTIFS('原始数据'!$G$2:$G$100,"&gt;=0",'原始数据'!$G$2:$G$100,"&lt;1"),COUNTIFS('原始数据'!$G$2:$G$100,"&gt;=0",'原始数据'!$G$2:$G$100,"&lt;1",'原始数据'!$C$2:$C$100,$B$3))</x:f>
        <x:v>41</x:v>
      </x:c>
      <x:c r="C18" s="29"/>
      <x:c r="D18" s="38" t="str">
        <x:v>三等奖</x:v>
      </x:c>
      <x:c r="E18" s="39" t="n">
        <x:f>COUNTIF('原始数据'!$C$2:$C$100,D18)</x:f>
        <x:v>30</x:v>
      </x:c>
      <x:c r="F18" s="29"/>
      <x:c r="G18" s="29"/>
      <x:c r="H18" s="29"/>
      <x:c r="I18" s="29"/>
      <x:c r="J18" s="29"/>
      <x:c r="K18" s="29"/>
      <x:c r="L18" s="29"/>
      <x:c r="M18" s="29"/>
      <x:c r="N18" s="29"/>
    </x:row>
    <x:row r="19">
      <x:c r="A19" s="38" t="str">
        <x:v>大会高1分以上</x:v>
      </x:c>
      <x:c r="B19" s="39" t="n">
        <x:f>IF($B$3="全部",COUNTIF('原始数据'!$G$2:$G$100,"&gt;=1"),COUNTIFS('原始数据'!$G$2:$G$100,"&gt;=1",'原始数据'!$C$2:$C$100,$B$3))</x:f>
        <x:v>2</x:v>
      </x:c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</x:row>
    <x:row r="22">
      <x:c r="A22" s="32" t="str">
        <x:v>临界作品关注清单</x:v>
      </x:c>
      <x:c r="B22" s="33" t="str"/>
      <x:c r="C22" s="33" t="str"/>
      <x:c r="D22" s="33" t="str"/>
      <x:c r="E22" s="34" t="str"/>
      <x:c r="F22" s="29"/>
      <x:c r="G22" s="32" t="str">
        <x:v>重复选题聚集度</x:v>
      </x:c>
      <x:c r="H22" s="33" t="str"/>
      <x:c r="I22" s="33" t="str"/>
      <x:c r="J22" s="34" t="str"/>
      <x:c r="K22" s="29"/>
      <x:c r="L22" s="29"/>
      <x:c r="M22" s="29"/>
      <x:c r="N22" s="29"/>
    </x:row>
    <x:row r="23">
      <x:c r="A23" s="30" t="str">
        <x:v>编号</x:v>
      </x:c>
      <x:c r="B23" s="30" t="str">
        <x:v>成果名称</x:v>
      </x:c>
      <x:c r="C23" s="30" t="str">
        <x:v>奖项</x:v>
      </x:c>
      <x:c r="D23" s="30" t="str">
        <x:v>最终分</x:v>
      </x:c>
      <x:c r="E23" s="32" t="str">
        <x:v>大会-小组差</x:v>
      </x:c>
      <x:c r="F23" s="29"/>
      <x:c r="G23" s="30" t="str">
        <x:v>成果名称</x:v>
      </x:c>
      <x:c r="H23" s="30" t="str">
        <x:v>出现次数</x:v>
      </x:c>
      <x:c r="I23" s="30" t="str">
        <x:v>涉及奖项</x:v>
      </x:c>
      <x:c r="J23" s="32" t="str">
        <x:v>平均最终分</x:v>
      </x:c>
      <x:c r="K23" s="29"/>
      <x:c r="L23" s="29"/>
      <x:c r="M23" s="29"/>
      <x:c r="N23" s="29"/>
    </x:row>
    <x:row r="24">
      <x:c r="A24" s="38" t="str">
        <x:v>CG2026100</x:v>
      </x:c>
      <x:c r="B24" s="38" t="str">
        <x:v>重庆智能网联新能源汽车产业链供应链韧性和安全水平提升研究</x:v>
      </x:c>
      <x:c r="C24" s="38" t="str">
        <x:v>三等奖</x:v>
      </x:c>
      <x:c r="D24" s="41" t="n">
        <x:v>82.33</x:v>
      </x:c>
      <x:c r="E24" s="40" t="n">
        <x:v>0.77</x:v>
      </x:c>
      <x:c r="F24" s="29"/>
      <x:c r="G24" s="38" t="str">
        <x:v>重庆智能网联新能源汽车产业链供应链韧性和安全水平提升研究</x:v>
      </x:c>
      <x:c r="H24" s="38" t="n">
        <x:v>14</x:v>
      </x:c>
      <x:c r="I24" s="38" t="str">
        <x:v>一等奖、二等奖、三等奖</x:v>
      </x:c>
      <x:c r="J24" s="40" t="n">
        <x:v>89.78285714285714</x:v>
      </x:c>
      <x:c r="K24" s="29"/>
      <x:c r="L24" s="29"/>
      <x:c r="M24" s="29"/>
      <x:c r="N24" s="29"/>
    </x:row>
    <x:row r="25">
      <x:c r="A25" s="38" t="str">
        <x:v>CG2026101</x:v>
      </x:c>
      <x:c r="B25" s="38" t="str">
        <x:v>重庆科技创新面临的体制机制问题研究</x:v>
      </x:c>
      <x:c r="C25" s="38" t="str">
        <x:v>三等奖</x:v>
      </x:c>
      <x:c r="D25" s="41" t="n">
        <x:v>82.45</x:v>
      </x:c>
      <x:c r="E25" s="40" t="n">
        <x:v>0.63</x:v>
      </x:c>
      <x:c r="F25" s="29"/>
      <x:c r="G25" s="38" t="str">
        <x:v>重庆科技创新面临的体制机制问题研究</x:v>
      </x:c>
      <x:c r="H25" s="38" t="n">
        <x:v>10</x:v>
      </x:c>
      <x:c r="I25" s="38" t="str">
        <x:v>一等奖、二等奖、三等奖</x:v>
      </x:c>
      <x:c r="J25" s="40" t="n">
        <x:v>86.345</x:v>
      </x:c>
      <x:c r="K25" s="29"/>
      <x:c r="L25" s="29"/>
      <x:c r="M25" s="29"/>
      <x:c r="N25" s="29"/>
    </x:row>
    <x:row r="26">
      <x:c r="A26" s="38" t="str">
        <x:v>CG2026102</x:v>
      </x:c>
      <x:c r="B26" s="38" t="str">
        <x:v>重庆创新政府投资重大项目投融资模式研究</x:v>
      </x:c>
      <x:c r="C26" s="38" t="str">
        <x:v>三等奖</x:v>
      </x:c>
      <x:c r="D26" s="41" t="n">
        <x:v>82.48</x:v>
      </x:c>
      <x:c r="E26" s="40" t="n">
        <x:v>0.41</x:v>
      </x:c>
      <x:c r="F26" s="29"/>
      <x:c r="G26" s="38" t="str">
        <x:v>重庆智慧养老体系建设研究</x:v>
      </x:c>
      <x:c r="H26" s="38" t="n">
        <x:v>9</x:v>
      </x:c>
      <x:c r="I26" s="38" t="str">
        <x:v>一等奖、二等奖、三等奖</x:v>
      </x:c>
      <x:c r="J26" s="40" t="n">
        <x:v>88.42222222222222</x:v>
      </x:c>
      <x:c r="K26" s="29"/>
      <x:c r="L26" s="29"/>
      <x:c r="M26" s="29"/>
      <x:c r="N26" s="29"/>
    </x:row>
    <x:row r="27">
      <x:c r="A27" s="38" t="str">
        <x:v>CG2026041</x:v>
      </x:c>
      <x:c r="B27" s="38" t="str">
        <x:v>探索重庆媒体融合发展新路径研究</x:v>
      </x:c>
      <x:c r="C27" s="38" t="str">
        <x:v>三等奖</x:v>
      </x:c>
      <x:c r="D27" s="41" t="n">
        <x:v>82.48</x:v>
      </x:c>
      <x:c r="E27" s="40" t="n">
        <x:v>0.32</x:v>
      </x:c>
      <x:c r="F27" s="29"/>
      <x:c r="G27" s="38" t="str">
        <x:v>重庆城乡融合发展的突破点研究</x:v>
      </x:c>
      <x:c r="H27" s="38" t="n">
        <x:v>9</x:v>
      </x:c>
      <x:c r="I27" s="38" t="str">
        <x:v>二等奖、三等奖</x:v>
      </x:c>
      <x:c r="J27" s="40" t="n">
        <x:v>86.69333333333334</x:v>
      </x:c>
      <x:c r="K27" s="29"/>
      <x:c r="L27" s="29"/>
      <x:c r="M27" s="29"/>
      <x:c r="N27" s="29"/>
    </x:row>
    <x:row r="28">
      <x:c r="A28" s="38" t="str">
        <x:v>CG2026043</x:v>
      </x:c>
      <x:c r="B28" s="38" t="str">
        <x:v>重庆中心城区发展软件和信息服务业路径研究</x:v>
      </x:c>
      <x:c r="C28" s="38" t="str">
        <x:v>三等奖</x:v>
      </x:c>
      <x:c r="D28" s="41" t="n">
        <x:v>82.48</x:v>
      </x:c>
      <x:c r="E28" s="40" t="n">
        <x:v>-0.22</x:v>
      </x:c>
      <x:c r="F28" s="29"/>
      <x:c r="G28" s="38" t="str">
        <x:v>重庆前瞻布局未来产业方向研究</x:v>
      </x:c>
      <x:c r="H28" s="38" t="n">
        <x:v>5</x:v>
      </x:c>
      <x:c r="I28" s="38" t="str">
        <x:v>一等奖、二等奖、三等奖</x:v>
      </x:c>
      <x:c r="J28" s="40" t="n">
        <x:v>88.41</x:v>
      </x:c>
      <x:c r="K28" s="29"/>
      <x:c r="L28" s="29"/>
      <x:c r="M28" s="29"/>
      <x:c r="N28" s="29"/>
    </x:row>
    <x:row r="29">
      <x:c r="A29" s="38" t="str">
        <x:v>CG2026060</x:v>
      </x:c>
      <x:c r="B29" s="38" t="str">
        <x:v>重庆智慧养老体系建设研究</x:v>
      </x:c>
      <x:c r="C29" s="38" t="str">
        <x:v>三等奖</x:v>
      </x:c>
      <x:c r="D29" s="41" t="n">
        <x:v>82.52</x:v>
      </x:c>
      <x:c r="E29" s="40" t="n">
        <x:v>-0.47</x:v>
      </x:c>
      <x:c r="F29" s="29"/>
      <x:c r="G29" s="38" t="str">
        <x:v>提升重庆旅游文化品质和消费能级研究</x:v>
      </x:c>
      <x:c r="H29" s="38" t="n">
        <x:v>5</x:v>
      </x:c>
      <x:c r="I29" s="38" t="str">
        <x:v>二等奖、三等奖</x:v>
      </x:c>
      <x:c r="J29" s="40" t="n">
        <x:v>86.41999999999999</x:v>
      </x:c>
      <x:c r="K29" s="29"/>
      <x:c r="L29" s="29"/>
      <x:c r="M29" s="29"/>
      <x:c r="N29" s="29"/>
    </x:row>
    <x:row r="30">
      <x:c r="A30" s="38" t="str">
        <x:v>CG2026010</x:v>
      </x:c>
      <x:c r="B30" s="38" t="str">
        <x:v>提升重庆旅游文化品质和消费能级研究</x:v>
      </x:c>
      <x:c r="C30" s="38" t="str">
        <x:v>二等奖</x:v>
      </x:c>
      <x:c r="D30" s="41" t="n">
        <x:v>87.06</x:v>
      </x:c>
      <x:c r="E30" s="40" t="n">
        <x:v>0.72</x:v>
      </x:c>
      <x:c r="F30" s="29"/>
      <x:c r="G30" s="38" t="str">
        <x:v>发挥通道物流和运营组织中心作用加快西部陆海新通道建设研究</x:v>
      </x:c>
      <x:c r="H30" s="38" t="n">
        <x:v>4</x:v>
      </x:c>
      <x:c r="I30" s="38" t="str">
        <x:v>一等奖、二等奖、三等奖</x:v>
      </x:c>
      <x:c r="J30" s="40" t="n">
        <x:v>89.8875</x:v>
      </x:c>
      <x:c r="K30" s="29"/>
      <x:c r="L30" s="29"/>
      <x:c r="M30" s="29"/>
      <x:c r="N30" s="29"/>
    </x:row>
    <x:row r="31">
      <x:c r="A31" s="10" t="str">
        <x:v>CG2026056</x:v>
      </x:c>
      <x:c r="B31" s="10" t="str">
        <x:v>重庆民营市场主体面临的困难及高质量发展研究</x:v>
      </x:c>
      <x:c r="C31" s="10" t="str">
        <x:v>二等奖</x:v>
      </x:c>
      <x:c r="D31" s="15" t="n">
        <x:v>87.09</x:v>
      </x:c>
      <x:c r="E31" s="25" t="n">
        <x:v>0.96</x:v>
      </x:c>
      <x:c r="G31" s="10" t="str">
        <x:v>重庆创新政府投资重大项目投融资模式研究</x:v>
      </x:c>
      <x:c r="H31" s="10" t="n">
        <x:v>4</x:v>
      </x:c>
      <x:c r="I31" s="10" t="str">
        <x:v>二等奖、三等奖</x:v>
      </x:c>
      <x:c r="J31" s="25" t="n">
        <x:v>86.3075</x:v>
      </x:c>
    </x:row>
    <x:row r="32">
      <x:c r="A32" s="10" t="str">
        <x:v>CG2026029</x:v>
      </x:c>
      <x:c r="B32" s="10" t="str">
        <x:v>重庆智慧养老体系建设研究</x:v>
      </x:c>
      <x:c r="C32" s="10" t="str">
        <x:v>二等奖</x:v>
      </x:c>
      <x:c r="D32" s="15" t="n">
        <x:v>87.12</x:v>
      </x:c>
      <x:c r="E32" s="25" t="n">
        <x:v>0.39</x:v>
      </x:c>
      <x:c r="G32" s="10" t="str">
        <x:v>重庆生物医药产业发展战略研究</x:v>
      </x:c>
      <x:c r="H32" s="10" t="n">
        <x:v>3</x:v>
      </x:c>
      <x:c r="I32" s="10" t="str">
        <x:v>一等奖、二等奖</x:v>
      </x:c>
      <x:c r="J32" s="25" t="n">
        <x:v>91.48666666666666</x:v>
      </x:c>
    </x:row>
    <x:row r="33">
      <x:c r="A33" s="10" t="str">
        <x:v>CG2026019</x:v>
      </x:c>
      <x:c r="B33" s="10" t="str">
        <x:v>重庆创新政府投资重大项目投融资模式研究</x:v>
      </x:c>
      <x:c r="C33" s="10" t="str">
        <x:v>二等奖</x:v>
      </x:c>
      <x:c r="D33" s="15" t="n">
        <x:v>87.13</x:v>
      </x:c>
      <x:c r="E33" s="25" t="n">
        <x:v>0.56</x:v>
      </x:c>
      <x:c r="G33" s="10" t="str">
        <x:v>创新推动重庆文化产业发展研究</x:v>
      </x:c>
      <x:c r="H33" s="10" t="n">
        <x:v>3</x:v>
      </x:c>
      <x:c r="I33" s="10" t="str">
        <x:v>一等奖、三等奖</x:v>
      </x:c>
      <x:c r="J33" s="25" t="n">
        <x:v>90.59333333333335</x:v>
      </x:c>
    </x:row>
    <x:row r="34">
      <x:c r="A34" s="10" t="str">
        <x:v>CG2026030</x:v>
      </x:c>
      <x:c r="B34" s="10" t="str">
        <x:v>重庆城乡融合发展的突破点研究</x:v>
      </x:c>
      <x:c r="C34" s="10" t="str">
        <x:v>二等奖</x:v>
      </x:c>
      <x:c r="D34" s="15" t="n">
        <x:v>87.15</x:v>
      </x:c>
      <x:c r="E34" s="25" t="n">
        <x:v>0.49</x:v>
      </x:c>
    </x:row>
    <x:row r="35">
      <x:c r="A35" s="10" t="str">
        <x:v>CG2026022</x:v>
      </x:c>
      <x:c r="B35" s="10" t="str">
        <x:v>重庆民营市场主体面临的困难及高质量发展研究</x:v>
      </x:c>
      <x:c r="C35" s="10" t="str">
        <x:v>二等奖</x:v>
      </x:c>
      <x:c r="D35" s="15" t="n">
        <x:v>87.24</x:v>
      </x:c>
      <x:c r="E35" s="25" t="n">
        <x:v>0.47</x:v>
      </x:c>
    </x:row>
  </x:sheetData>
  <x:mergeCells>
    <x:mergeCell ref="A22:E22"/>
    <x:mergeCell ref="G22:J22"/>
  </x:mergeCells>
  <x:dataValidations count="1">
    <x:dataValidation type="list" sqref="B3">
      <x:formula1>'图表数据'!$A$2:$A$5</x:formula1>
    </x:dataValidation>
  </x:dataValidations>
  <x:pageMargins left="0.7" right="0.7" top="0.75" bottom="0.75" header="0.3" footer="0.3"/>
  <x:drawing xmlns:r="http://schemas.openxmlformats.org/officeDocument/2006/relationships" r:id="Rff4e39a656254c9a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9" t="str">
        <x:v>奖项选项</x:v>
      </x:c>
      <x:c r="C1" t="str">
        <x:v>奖项数量</x:v>
      </x:c>
    </x:row>
    <x:row r="2">
      <x:c r="A2" t="str">
        <x:v>全部</x:v>
      </x:c>
      <x:c r="C2" s="7" t="str">
        <x:v>奖项</x:v>
      </x:c>
      <x:c r="D2" s="8" t="str">
        <x:v>数量</x:v>
      </x:c>
    </x:row>
    <x:row r="3">
      <x:c r="A3" t="str">
        <x:v>一等奖</x:v>
      </x:c>
      <x:c r="C3" t="str">
        <x:v>一等奖</x:v>
      </x:c>
      <x:c r="D3" t="n">
        <x:f>COUNTIF('原始数据'!$C$2:$C$100,C3)</x:f>
        <x:v>24</x:v>
      </x:c>
    </x:row>
    <x:row r="4">
      <x:c r="A4" t="str">
        <x:v>二等奖</x:v>
      </x:c>
      <x:c r="C4" t="str">
        <x:v>二等奖</x:v>
      </x:c>
      <x:c r="D4" t="n">
        <x:f>COUNTIF('原始数据'!$C$2:$C$100,C4)</x:f>
        <x:v>45</x:v>
      </x:c>
    </x:row>
    <x:row r="5">
      <x:c r="A5" t="str">
        <x:v>三等奖</x:v>
      </x:c>
      <x:c r="C5" t="str">
        <x:v>三等奖</x:v>
      </x:c>
      <x:c r="D5" t="n">
        <x:f>COUNTIF('原始数据'!$C$2:$C$100,C5)</x:f>
        <x:v>30</x:v>
      </x:c>
    </x:row>
  </x:sheetData>
  <x:pageMargins left="0.7" right="0.7" top="0.75" bottom="0.75" header="0.3" footer="0.3"/>
</x:worksheet>
</file>